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0"/>
  </bookViews>
  <sheets>
    <sheet r:id="rId1" sheetId="1" name="Part 1"/>
    <sheet r:id="rId2" sheetId="2" name="Part 2 - 1"/>
    <sheet r:id="rId3" sheetId="3" name="Part 2 - 2"/>
    <sheet r:id="rId4" sheetId="4" name="Part 2 - 3"/>
    <sheet r:id="rId5" sheetId="5" name="Part 2 - 4"/>
    <sheet r:id="rId6" sheetId="6" name="Part 2 - 5"/>
    <sheet r:id="rId7" sheetId="7" name="Part 2 - 6"/>
    <sheet r:id="rId8" sheetId="8" name="Part 2 - 7"/>
    <sheet r:id="rId9" sheetId="9" name="Part 2 - 8"/>
    <sheet r:id="rId10" sheetId="10" name="Part 2 - 9"/>
    <sheet r:id="rId11" sheetId="11" name="Part 2 - 10"/>
    <sheet r:id="rId12" sheetId="12" name="Part 2 - 11"/>
    <sheet r:id="rId13" sheetId="13" name="Part 2 - 12"/>
    <sheet r:id="rId14" sheetId="14" name="Part 2 - 13"/>
    <sheet r:id="rId15" sheetId="15" name="Part 2 - 14"/>
    <sheet r:id="rId16" sheetId="16" name="Part 2 - 15"/>
    <sheet r:id="rId17" sheetId="17" name="Part 2 - 17"/>
    <sheet r:id="rId18" sheetId="18" name="Part 2 - 16"/>
    <sheet r:id="rId19" sheetId="19" name="Part 2 - 18"/>
    <sheet r:id="rId20" sheetId="20" name="Part 2 - 19"/>
    <sheet r:id="rId21" sheetId="21" name="Part 2 - 20"/>
    <sheet r:id="rId22" sheetId="22" name="Part 2 - Tot"/>
    <sheet r:id="rId23" sheetId="23" name="Estimated Difficulty"/>
  </sheets>
  <calcPr fullCalcOnLoad="1"/>
</workbook>
</file>

<file path=xl/sharedStrings.xml><?xml version="1.0" encoding="utf-8"?>
<sst xmlns="http://schemas.openxmlformats.org/spreadsheetml/2006/main" count="2305" uniqueCount="989">
  <si>
    <t>Exercise</t>
  </si>
  <si>
    <t>Classes</t>
  </si>
  <si>
    <t>Attributes + Operations</t>
  </si>
  <si>
    <t>Associations</t>
  </si>
  <si>
    <t>ED 1</t>
  </si>
  <si>
    <t>ED 2</t>
  </si>
  <si>
    <t>ED 3</t>
  </si>
  <si>
    <t>AVG ED</t>
  </si>
  <si>
    <t>ED = Estimated Difficulty. 1 = Easy  5=Hard</t>
  </si>
  <si>
    <t>Average</t>
  </si>
  <si>
    <t>Human</t>
  </si>
  <si>
    <t>LLM</t>
  </si>
  <si>
    <t>Difference</t>
  </si>
  <si>
    <t>AVG distance</t>
  </si>
  <si>
    <t>Given Solution</t>
  </si>
  <si>
    <t>Distance Human</t>
  </si>
  <si>
    <t>Distance LLM</t>
  </si>
  <si>
    <t>Web User</t>
  </si>
  <si>
    <t>Web User .login_id</t>
  </si>
  <si>
    <t>Web User .loginname</t>
  </si>
  <si>
    <t>WebUser .username</t>
  </si>
  <si>
    <t>Web User .password</t>
  </si>
  <si>
    <t>\</t>
  </si>
  <si>
    <t>Web User .state</t>
  </si>
  <si>
    <t>UserState</t>
  </si>
  <si>
    <t>WebUserState</t>
  </si>
  <si>
    <t>Shopping Cart</t>
  </si>
  <si>
    <t>Shopping Cart .Created</t>
  </si>
  <si>
    <t>Customer</t>
  </si>
  <si>
    <t>Customer .id</t>
  </si>
  <si>
    <t>Customer .Customer.id</t>
  </si>
  <si>
    <t>Customer .address</t>
  </si>
  <si>
    <t>Customer .phone</t>
  </si>
  <si>
    <t>Customer .email</t>
  </si>
  <si>
    <t>Account</t>
  </si>
  <si>
    <t>Account .id</t>
  </si>
  <si>
    <t>Account .billing_address</t>
  </si>
  <si>
    <t>Account .is_closed</t>
  </si>
  <si>
    <t>Account .open</t>
  </si>
  <si>
    <t>Account .closed</t>
  </si>
  <si>
    <t>Payment</t>
  </si>
  <si>
    <t>Payment .id</t>
  </si>
  <si>
    <t>Payment .paid</t>
  </si>
  <si>
    <t>Payment .total</t>
  </si>
  <si>
    <t>Payment .Amount</t>
  </si>
  <si>
    <t>Payment .details</t>
  </si>
  <si>
    <t>Order</t>
  </si>
  <si>
    <t>Order .number</t>
  </si>
  <si>
    <t>Order .id</t>
  </si>
  <si>
    <t>Order .OrderId</t>
  </si>
  <si>
    <t>Order .ordered</t>
  </si>
  <si>
    <t>Order .shipped</t>
  </si>
  <si>
    <t>Order .ship_to</t>
  </si>
  <si>
    <t>Order .status</t>
  </si>
  <si>
    <t>Order .OrderStatus</t>
  </si>
  <si>
    <t>Order .total</t>
  </si>
  <si>
    <t>LineItem</t>
  </si>
  <si>
    <t>LineItem .quantity</t>
  </si>
  <si>
    <t>LineItem .Price</t>
  </si>
  <si>
    <t>Product</t>
  </si>
  <si>
    <t>Product .id</t>
  </si>
  <si>
    <t>Product .ProductId</t>
  </si>
  <si>
    <t>Product .name</t>
  </si>
  <si>
    <t>Product .supplier</t>
  </si>
  <si>
    <t>OrderStatus</t>
  </si>
  <si>
    <t>Association (Web User - Customer)</t>
  </si>
  <si>
    <t>Generalization (Web User - Customer)</t>
  </si>
  <si>
    <t>Association (Web User - Shopping Cart)</t>
  </si>
  <si>
    <t>Composition (Customer - Account)</t>
  </si>
  <si>
    <t>Association (Customer - Account)</t>
  </si>
  <si>
    <t>Composition (Account - Shopping Cart)</t>
  </si>
  <si>
    <t>Association (Account - ShoppingCart)</t>
  </si>
  <si>
    <t>Composition (Account - Order)</t>
  </si>
  <si>
    <t>Association (Account - Order)</t>
  </si>
  <si>
    <t>Association (Account - Payment)</t>
  </si>
  <si>
    <t>Association (Payment - Account)</t>
  </si>
  <si>
    <t>Association (Payment - Order)</t>
  </si>
  <si>
    <t>Association (Shopping Cart - LineItem)</t>
  </si>
  <si>
    <t>Association (LineItem - Product)</t>
  </si>
  <si>
    <t>Association (Order - LineItem)</t>
  </si>
  <si>
    <t>Dependecy (WebUser - UserState)</t>
  </si>
  <si>
    <t>Dependency (Order - OrderStatus)</t>
  </si>
  <si>
    <t>Total Distance</t>
  </si>
  <si>
    <t>User</t>
  </si>
  <si>
    <t>User .id</t>
  </si>
  <si>
    <t>User .FirstName</t>
  </si>
  <si>
    <t>Doctor\Patient .name</t>
  </si>
  <si>
    <t>User .LastName</t>
  </si>
  <si>
    <t>User .Login()</t>
  </si>
  <si>
    <t>User .Logout()</t>
  </si>
  <si>
    <t>Doctor</t>
  </si>
  <si>
    <t>Doctor .graduationYear</t>
  </si>
  <si>
    <t>Doctor .FieldOfActivity</t>
  </si>
  <si>
    <t>Doctor .Field</t>
  </si>
  <si>
    <t>Doctor .CreateSchedule()</t>
  </si>
  <si>
    <t>Doctor .CheckOfficeAvailability()</t>
  </si>
  <si>
    <t>Patient</t>
  </si>
  <si>
    <t>Patienti .Age</t>
  </si>
  <si>
    <t>Patienti .Address</t>
  </si>
  <si>
    <t>Patient .CreateAppointment()</t>
  </si>
  <si>
    <t>Schedule</t>
  </si>
  <si>
    <t>Schedule .id</t>
  </si>
  <si>
    <t>Schedule .StartDate</t>
  </si>
  <si>
    <t>Schedule .StartTime</t>
  </si>
  <si>
    <t>Schedule .EndDate</t>
  </si>
  <si>
    <t>Schedule .EndTime</t>
  </si>
  <si>
    <t>Office</t>
  </si>
  <si>
    <t>Office .id</t>
  </si>
  <si>
    <t>Office .OfficeNumber</t>
  </si>
  <si>
    <t>Office .Name</t>
  </si>
  <si>
    <t>Appointment</t>
  </si>
  <si>
    <t>Appointment .id</t>
  </si>
  <si>
    <t>Appointment .StartDate</t>
  </si>
  <si>
    <t>Appointment .StartTime</t>
  </si>
  <si>
    <t>Appointment .EndDate</t>
  </si>
  <si>
    <t>Appointment .EndTime</t>
  </si>
  <si>
    <t>BloodTest</t>
  </si>
  <si>
    <t>Consultation</t>
  </si>
  <si>
    <t>Surgery</t>
  </si>
  <si>
    <t>AppointmentType</t>
  </si>
  <si>
    <t>Generalization (User - Doctor)</t>
  </si>
  <si>
    <t>Generalization (User - Patient)</t>
  </si>
  <si>
    <t>Aggregation (Schedule - Doctor)</t>
  </si>
  <si>
    <t>Association (Schedule - Doctor)</t>
  </si>
  <si>
    <t>Aggregation (Office - Schedule)</t>
  </si>
  <si>
    <t>Association (Office - Schedule)</t>
  </si>
  <si>
    <t>Aggregation (Appointment - Patient)</t>
  </si>
  <si>
    <t>Association (Appointment - Patient)</t>
  </si>
  <si>
    <t>Composition (Schedule - Appointment)</t>
  </si>
  <si>
    <t>Generalization (Appointment - BloodTest)</t>
  </si>
  <si>
    <t>Generalization (Appointment - Consultation)</t>
  </si>
  <si>
    <t>Generalization (Appointment - Surgery)</t>
  </si>
  <si>
    <t>Association (Doctor - Office)</t>
  </si>
  <si>
    <t>Association (Doctor - Patient)</t>
  </si>
  <si>
    <t>Association (Patient - Schedule)</t>
  </si>
  <si>
    <t>Association (Doctor - Appointment)</t>
  </si>
  <si>
    <t>Association (Office - Appointment)</t>
  </si>
  <si>
    <t>User .last_name</t>
  </si>
  <si>
    <t>User .lastname</t>
  </si>
  <si>
    <t>User .fullname</t>
  </si>
  <si>
    <t>User .first_name</t>
  </si>
  <si>
    <t>User .firstname</t>
  </si>
  <si>
    <t>User .borrow_history</t>
  </si>
  <si>
    <t>User .borrow()</t>
  </si>
  <si>
    <t>User .borrowBook()</t>
  </si>
  <si>
    <t>Under_aged</t>
  </si>
  <si>
    <t>UnderAged</t>
  </si>
  <si>
    <t>UnderagedUser</t>
  </si>
  <si>
    <t>Under_aged .id_student</t>
  </si>
  <si>
    <t>UnderAged .studentcard</t>
  </si>
  <si>
    <t>UnderagedUser .studentCard</t>
  </si>
  <si>
    <t>Adult</t>
  </si>
  <si>
    <t>AdultUser</t>
  </si>
  <si>
    <t>Adult .id</t>
  </si>
  <si>
    <t>Adult .idcard</t>
  </si>
  <si>
    <t>AdultUser .idCard</t>
  </si>
  <si>
    <t>Borrow</t>
  </si>
  <si>
    <t>History</t>
  </si>
  <si>
    <t>BorrowRecord</t>
  </si>
  <si>
    <t>Borrow .Date</t>
  </si>
  <si>
    <t>History .date</t>
  </si>
  <si>
    <t>BorrowRecord .borrowDate</t>
  </si>
  <si>
    <t>Borrow .book</t>
  </si>
  <si>
    <t>History . Books</t>
  </si>
  <si>
    <t>BorrowRecord .book</t>
  </si>
  <si>
    <t>Book</t>
  </si>
  <si>
    <t>Book .author</t>
  </si>
  <si>
    <t>Book .title</t>
  </si>
  <si>
    <t>Library</t>
  </si>
  <si>
    <t>Library .Books</t>
  </si>
  <si>
    <t>Library .books</t>
  </si>
  <si>
    <t>Generalization (User - Under_aged)</t>
  </si>
  <si>
    <t>Generalization (User - UnderAged)</t>
  </si>
  <si>
    <t>Generalization (User - UnderAgedUser)</t>
  </si>
  <si>
    <t>Generalization (User - Adult)</t>
  </si>
  <si>
    <t>Generalizarion (User - Adult)</t>
  </si>
  <si>
    <t>Generalizarion (User - AdultUser)</t>
  </si>
  <si>
    <t>Aggregation (User - Borrow)</t>
  </si>
  <si>
    <t>Composition (User - History)</t>
  </si>
  <si>
    <t>Composition (User - BorrowRecord)</t>
  </si>
  <si>
    <t>Association (User - Book)</t>
  </si>
  <si>
    <t>Aggregation (Library - Book)</t>
  </si>
  <si>
    <t>Dependencies (Book - Borrow)</t>
  </si>
  <si>
    <t>Aggregation (Book - History)</t>
  </si>
  <si>
    <t>Person</t>
  </si>
  <si>
    <t>Person .Name</t>
  </si>
  <si>
    <t>Client\Employee .Name</t>
  </si>
  <si>
    <t>Employee</t>
  </si>
  <si>
    <t>Client</t>
  </si>
  <si>
    <t>OrganizationalUnit</t>
  </si>
  <si>
    <t>Division</t>
  </si>
  <si>
    <t>Branch</t>
  </si>
  <si>
    <t>Branch .Address</t>
  </si>
  <si>
    <t>Branch .Number</t>
  </si>
  <si>
    <t>Account .number</t>
  </si>
  <si>
    <t>Account .balance</t>
  </si>
  <si>
    <t>Account .creditoroverdraftLimit</t>
  </si>
  <si>
    <t>Account .creditLimit</t>
  </si>
  <si>
    <t>AccountType</t>
  </si>
  <si>
    <t>AccountType .InterestRate</t>
  </si>
  <si>
    <t>AccountType .MonthlyFee</t>
  </si>
  <si>
    <t>AccountType .checksAllowed</t>
  </si>
  <si>
    <t>AccountType .insuranceAvailable</t>
  </si>
  <si>
    <t>ChequingAccount</t>
  </si>
  <si>
    <t>CheckingAccount</t>
  </si>
  <si>
    <t>MortgageAccount</t>
  </si>
  <si>
    <t>MortgageAccount .collateral Property</t>
  </si>
  <si>
    <t>MortgageAccunt .Property Collateral</t>
  </si>
  <si>
    <t>CreditCardAccount</t>
  </si>
  <si>
    <t>CreditCardAccount .expiryDate</t>
  </si>
  <si>
    <t>CreditCard</t>
  </si>
  <si>
    <t>CreditCard .name</t>
  </si>
  <si>
    <t>Subdivision</t>
  </si>
  <si>
    <t>Manager</t>
  </si>
  <si>
    <t>Joint Account</t>
  </si>
  <si>
    <t>PersonalBanker</t>
  </si>
  <si>
    <t>OObank</t>
  </si>
  <si>
    <t>Generalization (Person - Employee)</t>
  </si>
  <si>
    <t>Generalization (Person - Customer)</t>
  </si>
  <si>
    <t>Association (Employee - Customer)</t>
  </si>
  <si>
    <t>Association (Employee - Client)</t>
  </si>
  <si>
    <t>Association (OrganizationalUnit - Employee)</t>
  </si>
  <si>
    <t>Composition (Division - Employee)</t>
  </si>
  <si>
    <t>Association (Employee - OrganizationalUnit)</t>
  </si>
  <si>
    <t>Generalization (OrganizationalUnit - Branch)</t>
  </si>
  <si>
    <t>Association (Division - Branch)</t>
  </si>
  <si>
    <t>Association (Branch - Account)</t>
  </si>
  <si>
    <t>Association (AccountType - Account)</t>
  </si>
  <si>
    <t>Composition (Client - Account)</t>
  </si>
  <si>
    <t>Generalization (Account - ChequingAccount)</t>
  </si>
  <si>
    <t>Generalization (Account - MortgageAccount)</t>
  </si>
  <si>
    <t>Generalization (Account - CreditCardAccount)</t>
  </si>
  <si>
    <t>Association (CreditCard - CreditCardAccount)</t>
  </si>
  <si>
    <t>Composition (OrganizationalUnit - Subdivision)</t>
  </si>
  <si>
    <t>Composition (Division - Subdivision)</t>
  </si>
  <si>
    <t>Aggregation (Division - Manager)</t>
  </si>
  <si>
    <t>Generalization (Employee - Manager)</t>
  </si>
  <si>
    <t>Generalization (Subdivision - Branch)</t>
  </si>
  <si>
    <t>Association (Client - Branch)</t>
  </si>
  <si>
    <t>Composition (Joint Account - Client)</t>
  </si>
  <si>
    <t>Generalization (Account - JointAccount)</t>
  </si>
  <si>
    <t>Association (OOBank - Branch)</t>
  </si>
  <si>
    <t>Association (OOBank - Division)</t>
  </si>
  <si>
    <t>Generalization (Employee - PersonalBanker)</t>
  </si>
  <si>
    <t>Association (Client - PersonalBanker)</t>
  </si>
  <si>
    <t>Contract</t>
  </si>
  <si>
    <t>ContractComponent</t>
  </si>
  <si>
    <t>Contract .getCharges()</t>
  </si>
  <si>
    <t>ContractComponent .getCharges()</t>
  </si>
  <si>
    <t>Contract .getBalance()</t>
  </si>
  <si>
    <t>ContractComponent .getBalance()</t>
  </si>
  <si>
    <t>Contract .setBalance()</t>
  </si>
  <si>
    <t>ContractComponent .setBalance()</t>
  </si>
  <si>
    <t>Option</t>
  </si>
  <si>
    <t>ContractDecorator</t>
  </si>
  <si>
    <t>Basic Contract</t>
  </si>
  <si>
    <t>BasicContract</t>
  </si>
  <si>
    <t>Basic Contract .Balance</t>
  </si>
  <si>
    <t>Basic Contract .contractNumber</t>
  </si>
  <si>
    <t>Basic Contract .Number</t>
  </si>
  <si>
    <t>Data</t>
  </si>
  <si>
    <t>DataOption</t>
  </si>
  <si>
    <t>SMS</t>
  </si>
  <si>
    <t>SMSOption</t>
  </si>
  <si>
    <t>Phone</t>
  </si>
  <si>
    <t>MinutesOption</t>
  </si>
  <si>
    <t>Double Transfer</t>
  </si>
  <si>
    <t>DOubleTransferRateOption</t>
  </si>
  <si>
    <t>Generalization (Option - Data)</t>
  </si>
  <si>
    <t>Generalization (Option - DataOption)</t>
  </si>
  <si>
    <t>Generalization (Option - SMS)</t>
  </si>
  <si>
    <t>Generalization (Option - SMSOption)</t>
  </si>
  <si>
    <t>Generalization (Option - Phone)</t>
  </si>
  <si>
    <t>Generalization (Option - MinutesOption)</t>
  </si>
  <si>
    <t>Generalization (Option - Double Transfer)</t>
  </si>
  <si>
    <t>Generalization (Option - DoubleTransferRateOption)</t>
  </si>
  <si>
    <t>Implementation (Contract - Basic Contract)</t>
  </si>
  <si>
    <t>Association (Contract - Basic Contract)</t>
  </si>
  <si>
    <t>Implementation (ContractComponent - Basic Contract)</t>
  </si>
  <si>
    <t>Implementation (Contract - Option)</t>
  </si>
  <si>
    <t>Implementation (ContractComponent - ContractDecorator)</t>
  </si>
  <si>
    <t>Association (Contract - Option)</t>
  </si>
  <si>
    <t>Association (Contract - Client)</t>
  </si>
  <si>
    <t>Association (ContractComponent - Client)</t>
  </si>
  <si>
    <t>Staff Card</t>
  </si>
  <si>
    <t>Identity Card</t>
  </si>
  <si>
    <t>EmployeeCard</t>
  </si>
  <si>
    <t>Staff Card .set last access()</t>
  </si>
  <si>
    <t>Identity Card .Issue()</t>
  </si>
  <si>
    <t>Access</t>
  </si>
  <si>
    <t>Card</t>
  </si>
  <si>
    <t>Guest Card</t>
  </si>
  <si>
    <t>GuestCard</t>
  </si>
  <si>
    <t>Card Reader</t>
  </si>
  <si>
    <t>CardReader</t>
  </si>
  <si>
    <t>Card Reader .insert staff card()</t>
  </si>
  <si>
    <t>Card Reader .insertcard()</t>
  </si>
  <si>
    <t>CardReader .VerifyCard()</t>
  </si>
  <si>
    <t>Card Reader .show success message()</t>
  </si>
  <si>
    <t>Card Reader .showsuccessmessage()</t>
  </si>
  <si>
    <t>Card Reader .show fail message()</t>
  </si>
  <si>
    <t>Card Reader .showfailmessage()</t>
  </si>
  <si>
    <t>Card Reader .eject card()</t>
  </si>
  <si>
    <t>Card Reader .ejectcard()</t>
  </si>
  <si>
    <t>Signal</t>
  </si>
  <si>
    <t>Sign</t>
  </si>
  <si>
    <t>Car Park</t>
  </si>
  <si>
    <t>ParkingSpace</t>
  </si>
  <si>
    <t>Barrier</t>
  </si>
  <si>
    <t>Barrier .raise()</t>
  </si>
  <si>
    <t>Barrier .rise()</t>
  </si>
  <si>
    <t>Reception</t>
  </si>
  <si>
    <t>Generalization (Card - Staff Card)</t>
  </si>
  <si>
    <t>Generalization (Card - Identity Card)</t>
  </si>
  <si>
    <t>Generalization (Card - Access)</t>
  </si>
  <si>
    <t>Association (Guest card - Card)</t>
  </si>
  <si>
    <t>Generalization (Card - Guest Card)</t>
  </si>
  <si>
    <t>Aggregation (Card Reader - Guest Card)</t>
  </si>
  <si>
    <t>Association (Guest Card - CardReader)</t>
  </si>
  <si>
    <t>Association (Card - Card Reader)</t>
  </si>
  <si>
    <t>Association (Employee Card - CardReader)</t>
  </si>
  <si>
    <t>Aggregation (Card reader - Signal)</t>
  </si>
  <si>
    <t>Aggregation (Car Park - Card Reader)</t>
  </si>
  <si>
    <t>Composition (Car Park - Card Reader)</t>
  </si>
  <si>
    <t>Aggregation (Car Park - Barrier)</t>
  </si>
  <si>
    <t>Composition (Car Park - Barrier)</t>
  </si>
  <si>
    <t>Association (ParkingSpace - Barrier)</t>
  </si>
  <si>
    <t>Dependencies (Barrier - Signal)</t>
  </si>
  <si>
    <t>Composition (Car Park - Sign)</t>
  </si>
  <si>
    <t>Association (Card Reader - Barrier)</t>
  </si>
  <si>
    <t>Association (Guest Card - Reception)</t>
  </si>
  <si>
    <t>Client .Nin</t>
  </si>
  <si>
    <t>Client .Tin</t>
  </si>
  <si>
    <t>Client. Name</t>
  </si>
  <si>
    <t>Client .Address</t>
  </si>
  <si>
    <t>Reservation</t>
  </si>
  <si>
    <t>Reservation .Pickup_Day</t>
  </si>
  <si>
    <t>Reservation .pickupDate</t>
  </si>
  <si>
    <t>Reservation .Return_Day</t>
  </si>
  <si>
    <t>Reservation .reservationID</t>
  </si>
  <si>
    <t>Reservation .clientNIN</t>
  </si>
  <si>
    <t>Reservation .modelName</t>
  </si>
  <si>
    <t>Reservation .StoreName</t>
  </si>
  <si>
    <t>Bicycle</t>
  </si>
  <si>
    <t>Bicycle .Number</t>
  </si>
  <si>
    <t>Bicycle .ID</t>
  </si>
  <si>
    <t>Bicycle .bicycleID</t>
  </si>
  <si>
    <t>Bicycle .modelName</t>
  </si>
  <si>
    <t>BicycleModel</t>
  </si>
  <si>
    <t>BicycleModel .Name</t>
  </si>
  <si>
    <t>BicycleModel .Type</t>
  </si>
  <si>
    <t>BicycleModel .No_Gears</t>
  </si>
  <si>
    <t>BicycleModel .NumberofGears</t>
  </si>
  <si>
    <t>Store</t>
  </si>
  <si>
    <t>Store .Name</t>
  </si>
  <si>
    <t>Store .storeName</t>
  </si>
  <si>
    <t>Store .Address</t>
  </si>
  <si>
    <t>Type</t>
  </si>
  <si>
    <t>Road</t>
  </si>
  <si>
    <t>Mountain</t>
  </si>
  <si>
    <t>BMX</t>
  </si>
  <si>
    <t>Hybrid</t>
  </si>
  <si>
    <t>Rental</t>
  </si>
  <si>
    <t>Rental .rentalID</t>
  </si>
  <si>
    <t>Rental .bicycleID</t>
  </si>
  <si>
    <t>Rental .pickupDate</t>
  </si>
  <si>
    <t>Rental .returnDate</t>
  </si>
  <si>
    <t>Association (Client - Reservation)</t>
  </si>
  <si>
    <t>Association (Reservation - Bicycle)</t>
  </si>
  <si>
    <t>Association (Reservation - BicycleModel)</t>
  </si>
  <si>
    <t>Association (Bicycle - BycicleModel)</t>
  </si>
  <si>
    <t>Association (Reservation - Store)</t>
  </si>
  <si>
    <t>Association (Bycicle - Store)</t>
  </si>
  <si>
    <t>Association (BycicleModel - Type)</t>
  </si>
  <si>
    <t>Generalization (Type - Road)</t>
  </si>
  <si>
    <t>Generalization (Type - Mountain)</t>
  </si>
  <si>
    <t>Generalization (Type - BMX)</t>
  </si>
  <si>
    <t>Generalization (Type - Hybrid)</t>
  </si>
  <si>
    <t>Association (Bicycle - Rental)</t>
  </si>
  <si>
    <t>Person .FirstName</t>
  </si>
  <si>
    <t>Worker .FirstName</t>
  </si>
  <si>
    <t>Worker .Name</t>
  </si>
  <si>
    <t>Person .Surname</t>
  </si>
  <si>
    <t>Worker .LastName</t>
  </si>
  <si>
    <t>Person .Address</t>
  </si>
  <si>
    <t>Worker/Client .Address</t>
  </si>
  <si>
    <t>Client .Phone</t>
  </si>
  <si>
    <t>Client .PhoneNumber</t>
  </si>
  <si>
    <t>Client .Contact_Person</t>
  </si>
  <si>
    <t>Worker</t>
  </si>
  <si>
    <t>Worker .Birth_Date</t>
  </si>
  <si>
    <t>Worker .BirthDate</t>
  </si>
  <si>
    <t>Skill</t>
  </si>
  <si>
    <t>Skill .Name</t>
  </si>
  <si>
    <t>Worker .Skills</t>
  </si>
  <si>
    <t>Machine</t>
  </si>
  <si>
    <t>Machine .Serial</t>
  </si>
  <si>
    <t>Machine .SerialNumber</t>
  </si>
  <si>
    <t>Machine .Make</t>
  </si>
  <si>
    <t>Machine .Model</t>
  </si>
  <si>
    <t>Machine .Purchase_Date</t>
  </si>
  <si>
    <t>Product_Type</t>
  </si>
  <si>
    <t>Product_Type .Material</t>
  </si>
  <si>
    <t>Product_Type .Weight</t>
  </si>
  <si>
    <t>Product .ID</t>
  </si>
  <si>
    <t>Product .Name</t>
  </si>
  <si>
    <t>Purchase Order</t>
  </si>
  <si>
    <t>Purchase Order .Number</t>
  </si>
  <si>
    <t>Order .Number</t>
  </si>
  <si>
    <t>Purchase Order .OrderNumber</t>
  </si>
  <si>
    <t>Purchase Order .Date</t>
  </si>
  <si>
    <t>Order .Date</t>
  </si>
  <si>
    <t>Purchase Order. dateMade</t>
  </si>
  <si>
    <t>Purchase Order .Expected_Del</t>
  </si>
  <si>
    <t>Order .Expected_Delivery_Date</t>
  </si>
  <si>
    <t>Purchase Order .ExpectedDeliveryDate</t>
  </si>
  <si>
    <t>Purchase Order .Actual_Del</t>
  </si>
  <si>
    <t>Order .Actual_Delivery_Date</t>
  </si>
  <si>
    <t>Purchase Order .ActualDeliveryDate</t>
  </si>
  <si>
    <t>Generalization (Person - Client)</t>
  </si>
  <si>
    <t>Generalization (Person - Worker)</t>
  </si>
  <si>
    <t>Association ( Client - Purchase Order)</t>
  </si>
  <si>
    <t>Association ( Client - Order)</t>
  </si>
  <si>
    <t>Association (Client - Purchase Order)</t>
  </si>
  <si>
    <t>Association (Worker - Skill)</t>
  </si>
  <si>
    <t>Association (Worker - Machine)</t>
  </si>
  <si>
    <t>Association (Machine - Product_Type)</t>
  </si>
  <si>
    <t>Association (Product_Type - Product)</t>
  </si>
  <si>
    <t>Association (Product - Purchase Order)</t>
  </si>
  <si>
    <t>Association (Product - Order)</t>
  </si>
  <si>
    <t>Association (Worker - Product)</t>
  </si>
  <si>
    <t>Store .FAX</t>
  </si>
  <si>
    <t>Store .FAXnumber</t>
  </si>
  <si>
    <t>Order .OrderNumber</t>
  </si>
  <si>
    <t>Piece</t>
  </si>
  <si>
    <t>Piece of Furniture</t>
  </si>
  <si>
    <t>FurniturePiece</t>
  </si>
  <si>
    <t>Piece .Ref</t>
  </si>
  <si>
    <t>Piece of Furniture .Reference</t>
  </si>
  <si>
    <t>FurniturePiece .Reference</t>
  </si>
  <si>
    <t>Piece .Price</t>
  </si>
  <si>
    <t>Piece of Furniture .Price</t>
  </si>
  <si>
    <t>FurniturePiece .SellingPrice</t>
  </si>
  <si>
    <t>Piece of Furniture .type</t>
  </si>
  <si>
    <t>FurniturePiece .Type</t>
  </si>
  <si>
    <t>Line</t>
  </si>
  <si>
    <t>Furniture Line</t>
  </si>
  <si>
    <t>Line .Type</t>
  </si>
  <si>
    <t>Furniture Line .Name</t>
  </si>
  <si>
    <t>Component</t>
  </si>
  <si>
    <t>Component .Code</t>
  </si>
  <si>
    <t>Component .NumericalCode</t>
  </si>
  <si>
    <t>Component .Price</t>
  </si>
  <si>
    <t>Component .ManufacturingPrice</t>
  </si>
  <si>
    <t>Component .Type</t>
  </si>
  <si>
    <t>ComponentType</t>
  </si>
  <si>
    <t>ComponentType .Name</t>
  </si>
  <si>
    <t>Association (Store - Order)</t>
  </si>
  <si>
    <t>Association (Order - Piece)</t>
  </si>
  <si>
    <t>Association (Order - Piece of Furniture)</t>
  </si>
  <si>
    <t>Association (Order - FurniturePiece)</t>
  </si>
  <si>
    <t>Association (Piece - Line)</t>
  </si>
  <si>
    <t>Association (Piece of Furniture - Furniture Line)</t>
  </si>
  <si>
    <t>Association (FurniturePiece - Furniture Line)</t>
  </si>
  <si>
    <t>Association (Piece - Component)</t>
  </si>
  <si>
    <t>Association (Piece of Furniture - Component)</t>
  </si>
  <si>
    <t>Association (FurniturePiece - Component)</t>
  </si>
  <si>
    <t>Association (Component - ComponentType)</t>
  </si>
  <si>
    <t>Association (Piece of Furniture - Store)</t>
  </si>
  <si>
    <t>Person .VAT</t>
  </si>
  <si>
    <t>Customer/Courier .VAT</t>
  </si>
  <si>
    <t>Customer/Courier .VATNumber</t>
  </si>
  <si>
    <t>Customer/Courier .Name</t>
  </si>
  <si>
    <t>Person .Phone</t>
  </si>
  <si>
    <t>Customer/Courier .Phone</t>
  </si>
  <si>
    <t>Customer/Courier .PhoneNumber</t>
  </si>
  <si>
    <t>Customer .Address</t>
  </si>
  <si>
    <t>Package</t>
  </si>
  <si>
    <t>Package .ID</t>
  </si>
  <si>
    <t>Package .identifierCode</t>
  </si>
  <si>
    <t>Package .Weight</t>
  </si>
  <si>
    <t>Package .Urgency</t>
  </si>
  <si>
    <t>Package .Urgent</t>
  </si>
  <si>
    <t>Package .DeliveryType</t>
  </si>
  <si>
    <t>Courier</t>
  </si>
  <si>
    <t>DeliveryCenter</t>
  </si>
  <si>
    <t>DeliveryCenter .Name</t>
  </si>
  <si>
    <t>DeliveryCenter .Address</t>
  </si>
  <si>
    <t>Generalization (Person - Courier)</t>
  </si>
  <si>
    <t>Association (Courier - DeliveryCenter)</t>
  </si>
  <si>
    <t>Association (Courier - Package)</t>
  </si>
  <si>
    <t>Association (Customer - DeliveryCenter)</t>
  </si>
  <si>
    <t>Association (Customer - DeliveryCenter) 1</t>
  </si>
  <si>
    <t>Association (Customer - Package) 1</t>
  </si>
  <si>
    <t>Association (Customer - Package)</t>
  </si>
  <si>
    <t>Association (Customer - Package) 2</t>
  </si>
  <si>
    <t>Association (DeliveryCenter - Package) 1</t>
  </si>
  <si>
    <t>Association (DeliveryCenter - Package)</t>
  </si>
  <si>
    <t>Association (DeliveryCenter - Package) 2</t>
  </si>
  <si>
    <t>Association (Courier - Customer)</t>
  </si>
  <si>
    <t>Association (Customer - Customer)</t>
  </si>
  <si>
    <t>Association (Customer - DeliveryCenter) 2</t>
  </si>
  <si>
    <t>Client/Waiter .Name</t>
  </si>
  <si>
    <t>Client/Waiter .Address</t>
  </si>
  <si>
    <t>Client .Tax_ID</t>
  </si>
  <si>
    <t>Waiter</t>
  </si>
  <si>
    <t>Waiter .ID</t>
  </si>
  <si>
    <t>Waiter .Phone</t>
  </si>
  <si>
    <t>Waiter .PhoneNumber</t>
  </si>
  <si>
    <t>Meal</t>
  </si>
  <si>
    <t>Meal .Date</t>
  </si>
  <si>
    <t>Meal .StartTime</t>
  </si>
  <si>
    <t>Meal .StartDate</t>
  </si>
  <si>
    <t>Meal .EndTime</t>
  </si>
  <si>
    <t>Meal .EndDate</t>
  </si>
  <si>
    <t>Table</t>
  </si>
  <si>
    <t>Table .ID</t>
  </si>
  <si>
    <t>Table .Capacity</t>
  </si>
  <si>
    <t>Table .nofpeople</t>
  </si>
  <si>
    <t>Table .MaxCapacity</t>
  </si>
  <si>
    <t>Dish</t>
  </si>
  <si>
    <t>Dish .ID</t>
  </si>
  <si>
    <t>DIsh .ID</t>
  </si>
  <si>
    <t>Dish .Name</t>
  </si>
  <si>
    <t>DIsh .Name</t>
  </si>
  <si>
    <t>Ingredient</t>
  </si>
  <si>
    <t>Ingredient .Name</t>
  </si>
  <si>
    <t>Ingredient .Unit</t>
  </si>
  <si>
    <t>Ingredient .MeasuringUnits</t>
  </si>
  <si>
    <t>Ingredient .MeasuringUnit</t>
  </si>
  <si>
    <t>Ingredient .Stock</t>
  </si>
  <si>
    <t>Ingredient .Quantity</t>
  </si>
  <si>
    <t>Ingredient .QuantityinStock</t>
  </si>
  <si>
    <t>Generalization (Person - Waiter)</t>
  </si>
  <si>
    <t>Association (Client - Meal)</t>
  </si>
  <si>
    <t>Association (Waiter - Meal)</t>
  </si>
  <si>
    <t>Association (Meal - Table)</t>
  </si>
  <si>
    <t>Association (Meal - Dish)</t>
  </si>
  <si>
    <t>Association (Dish - Ingredient)</t>
  </si>
  <si>
    <t>Person .ID</t>
  </si>
  <si>
    <t>Employee/Owner .ID</t>
  </si>
  <si>
    <t>Owner/Employee .ID</t>
  </si>
  <si>
    <t>Employee/Owner .Name</t>
  </si>
  <si>
    <t>Owner/Employee .Name</t>
  </si>
  <si>
    <t>Employee/Owner .Address</t>
  </si>
  <si>
    <t>Owner/Employee .Address</t>
  </si>
  <si>
    <t>Owner</t>
  </si>
  <si>
    <t>Owner .Phone</t>
  </si>
  <si>
    <t>Owner .PhoneNumber</t>
  </si>
  <si>
    <t>Service</t>
  </si>
  <si>
    <t>Assembly_Service</t>
  </si>
  <si>
    <t>AssemblyService</t>
  </si>
  <si>
    <t>Service .Car_Km</t>
  </si>
  <si>
    <t>Assembly_Service .kmscar</t>
  </si>
  <si>
    <t>Service .Hours_spent</t>
  </si>
  <si>
    <t>Assembly_Service .workhours</t>
  </si>
  <si>
    <t>AssemblyService .workhours</t>
  </si>
  <si>
    <t>Service .Adm_Date</t>
  </si>
  <si>
    <t>Assembly_Service .AdmissionDate</t>
  </si>
  <si>
    <t>AssemblyService .AdmissionDate</t>
  </si>
  <si>
    <t>Service .Finish_Date</t>
  </si>
  <si>
    <t>Assembly_Service .FinishDate</t>
  </si>
  <si>
    <t>AssemblyService .FinishDate</t>
  </si>
  <si>
    <t>Part/Acc</t>
  </si>
  <si>
    <t>Part/Accessory</t>
  </si>
  <si>
    <t>PartAccessory</t>
  </si>
  <si>
    <t>Part/Acc .Serial_No</t>
  </si>
  <si>
    <t>Part/Accessory .SerialNumber</t>
  </si>
  <si>
    <t>PartAccessory .SerialNumber</t>
  </si>
  <si>
    <t>Part/Acc .Price</t>
  </si>
  <si>
    <t>Part/Accessory .Price</t>
  </si>
  <si>
    <t>PartAccessory .Price</t>
  </si>
  <si>
    <t>Part/Accessory .category</t>
  </si>
  <si>
    <t>PartAccessory .Category</t>
  </si>
  <si>
    <t>Part Type</t>
  </si>
  <si>
    <t>Part Type .Current_Price</t>
  </si>
  <si>
    <t>Car</t>
  </si>
  <si>
    <t>Car .Plate</t>
  </si>
  <si>
    <t>Car .LicensePlate</t>
  </si>
  <si>
    <t>Car .Color</t>
  </si>
  <si>
    <t>Car .Model</t>
  </si>
  <si>
    <t>Car Model</t>
  </si>
  <si>
    <t>Car .Make</t>
  </si>
  <si>
    <t>Car Model .Make</t>
  </si>
  <si>
    <t>Make</t>
  </si>
  <si>
    <t>Make .Name</t>
  </si>
  <si>
    <t>Generalization (Employee - Person)</t>
  </si>
  <si>
    <t>Generalization (Owner - Person)</t>
  </si>
  <si>
    <t>Association ( Employee - Service)</t>
  </si>
  <si>
    <t>Association (Employee - Assembly Service)</t>
  </si>
  <si>
    <t>Association (Owner - Car)</t>
  </si>
  <si>
    <t>Association (Service - Part/Acc)</t>
  </si>
  <si>
    <t>Association (Assembly Service - Part/Accessory)</t>
  </si>
  <si>
    <t>Association (Assembly Service - PartAccessory)</t>
  </si>
  <si>
    <t>Association (Car - Car Model)</t>
  </si>
  <si>
    <t>Association (Service - Car)</t>
  </si>
  <si>
    <t>Association (Assembly Service - Car)</t>
  </si>
  <si>
    <t>Association (Car Model - Make)</t>
  </si>
  <si>
    <t>Association (Part/Acc - Part Type)</t>
  </si>
  <si>
    <t>Association (Car Model - Part Type)</t>
  </si>
  <si>
    <t>Association (Part/Accessory - Car)</t>
  </si>
  <si>
    <t>Association (PartAccessory - CarModel)</t>
  </si>
  <si>
    <t>Animal</t>
  </si>
  <si>
    <t>Animal . ID</t>
  </si>
  <si>
    <t>Animal .Name</t>
  </si>
  <si>
    <t>Physician</t>
  </si>
  <si>
    <t>Appointment .Date</t>
  </si>
  <si>
    <t>Appointment .DateandTime</t>
  </si>
  <si>
    <t>Appointment .Time</t>
  </si>
  <si>
    <t>Condition</t>
  </si>
  <si>
    <t>Medical_Condition</t>
  </si>
  <si>
    <t>Condition .Common_Name</t>
  </si>
  <si>
    <t>Medical_Condition .CommonName</t>
  </si>
  <si>
    <t>Condition .Sci_Name</t>
  </si>
  <si>
    <t>Medical_Condition .ScientificName</t>
  </si>
  <si>
    <t>Breed</t>
  </si>
  <si>
    <t>Breed .Name</t>
  </si>
  <si>
    <t>Breed .Type</t>
  </si>
  <si>
    <t>Owner/Physician .ID</t>
  </si>
  <si>
    <t>Owner/Physician .Name</t>
  </si>
  <si>
    <t>Owner/Physician .Address</t>
  </si>
  <si>
    <t>Owner/Physician .PhoneNumber</t>
  </si>
  <si>
    <t>Association (Animal - Owner)</t>
  </si>
  <si>
    <t>Association (Animal - Breed)</t>
  </si>
  <si>
    <t>Association (Animal - Appointment)</t>
  </si>
  <si>
    <t>Association (Appointment - Condition)</t>
  </si>
  <si>
    <t>Association (Appointment - Medical_Condition)</t>
  </si>
  <si>
    <t>Association (Breed - Condition)</t>
  </si>
  <si>
    <t>Association (Breed - Medical_Condition)</t>
  </si>
  <si>
    <t>Association (Appointment - Physician)</t>
  </si>
  <si>
    <t>Generalizzation (Physician - Person)</t>
  </si>
  <si>
    <t>Association (Appointment - Owner)</t>
  </si>
  <si>
    <t>Customer .Name</t>
  </si>
  <si>
    <t>Account .CashBalance</t>
  </si>
  <si>
    <t>Account .Balance</t>
  </si>
  <si>
    <t>InvestmentAccount</t>
  </si>
  <si>
    <t>Investments</t>
  </si>
  <si>
    <t>SavingAccount</t>
  </si>
  <si>
    <t>Savings</t>
  </si>
  <si>
    <t>SavingsAccount</t>
  </si>
  <si>
    <t>SavingAccount .interestRate</t>
  </si>
  <si>
    <t>Savings .interestrate</t>
  </si>
  <si>
    <t>SavingsAccount .interestRate</t>
  </si>
  <si>
    <t>Stock</t>
  </si>
  <si>
    <t>Stock .ticker</t>
  </si>
  <si>
    <t>StockOrder .Ticker</t>
  </si>
  <si>
    <t>Stock .quantity</t>
  </si>
  <si>
    <t>StockOrder .Quantity</t>
  </si>
  <si>
    <t>Stock .price</t>
  </si>
  <si>
    <t>StockOrder</t>
  </si>
  <si>
    <t>StockOrder .commission</t>
  </si>
  <si>
    <t>Generalization (Account - InvestmentAccount)</t>
  </si>
  <si>
    <t>Generalization (Account - Investments)</t>
  </si>
  <si>
    <t>Generalization (Account - SavingAccount)</t>
  </si>
  <si>
    <t>Generalization (Account - Savings)</t>
  </si>
  <si>
    <t>Association (InvestmentAccount - Stock)</t>
  </si>
  <si>
    <t>Association (Investments - Stock)</t>
  </si>
  <si>
    <t>Association (InvestmentAccount - StockOrder)</t>
  </si>
  <si>
    <t>Association (Stock - StockOrder)</t>
  </si>
  <si>
    <t>Airline</t>
  </si>
  <si>
    <t>Airline .ID</t>
  </si>
  <si>
    <t>Airline .Name</t>
  </si>
  <si>
    <t>Aircraft</t>
  </si>
  <si>
    <t>Aircraft .Name</t>
  </si>
  <si>
    <t>Aircraft .Id</t>
  </si>
  <si>
    <t>Aircraft .repair</t>
  </si>
  <si>
    <t>Aircraft .WorkingState</t>
  </si>
  <si>
    <t>Aircraft .landed</t>
  </si>
  <si>
    <t>Aircraft .status</t>
  </si>
  <si>
    <t>Aircraft .type</t>
  </si>
  <si>
    <t>Flight</t>
  </si>
  <si>
    <t>Flight .ID</t>
  </si>
  <si>
    <t>Flight .arrival_time</t>
  </si>
  <si>
    <t>Flight .departure_time</t>
  </si>
  <si>
    <t>Airport</t>
  </si>
  <si>
    <t>Airport .ID</t>
  </si>
  <si>
    <t>Airport .Identifier</t>
  </si>
  <si>
    <t>Airport .code</t>
  </si>
  <si>
    <t>Airport .name</t>
  </si>
  <si>
    <t>AircraftType</t>
  </si>
  <si>
    <t>TypeofAircraft</t>
  </si>
  <si>
    <t>AircraftType .name</t>
  </si>
  <si>
    <t>TypeofAircraft .name</t>
  </si>
  <si>
    <t>Pilot</t>
  </si>
  <si>
    <t>Pilot .name</t>
  </si>
  <si>
    <t>Pilot 1</t>
  </si>
  <si>
    <t>Pilot 2</t>
  </si>
  <si>
    <t>Pilot 3</t>
  </si>
  <si>
    <t>Company</t>
  </si>
  <si>
    <t>Association (Airline - Flight)</t>
  </si>
  <si>
    <t>Association (Flight - Airport)</t>
  </si>
  <si>
    <t>Association (Airport - Flight)</t>
  </si>
  <si>
    <t>Association (Airline - Aircraft)</t>
  </si>
  <si>
    <t>Association (Flight - Aircraft)</t>
  </si>
  <si>
    <t>Association (Flight - Pilot)</t>
  </si>
  <si>
    <t>Association (Pilot - Flight)</t>
  </si>
  <si>
    <t>Association (Aircraft - Aircraft Type)</t>
  </si>
  <si>
    <t>Association (Aircraft - TypeofAircraft)</t>
  </si>
  <si>
    <t>Association (Aircraft Type - Pilot 3)</t>
  </si>
  <si>
    <t>Association (Aircraft Type - Pilot)</t>
  </si>
  <si>
    <t>Association (TypeofAircraft - Pilot)</t>
  </si>
  <si>
    <t>Association (Pilot - Aircraft Type)</t>
  </si>
  <si>
    <t>Generalization (Pilot - Pilot1)</t>
  </si>
  <si>
    <t>Generalization (Pilot - Pilot2)</t>
  </si>
  <si>
    <t>Generalization (Pilot - Pilot3)</t>
  </si>
  <si>
    <t>Asssociation (Pilot - Company)</t>
  </si>
  <si>
    <t>User .name</t>
  </si>
  <si>
    <t>User .surname</t>
  </si>
  <si>
    <t>Subscriber</t>
  </si>
  <si>
    <t>Subscriber .phone</t>
  </si>
  <si>
    <t>Subscriber .telephone</t>
  </si>
  <si>
    <t>Subscriber .address</t>
  </si>
  <si>
    <t>Subscriber .hireMovie()</t>
  </si>
  <si>
    <t>Subscriber .buyMovie()</t>
  </si>
  <si>
    <t>Recheargeable Card</t>
  </si>
  <si>
    <t>Card .credit</t>
  </si>
  <si>
    <t>Recheargeable Card .credit</t>
  </si>
  <si>
    <t>Card .code</t>
  </si>
  <si>
    <t>Recheargeable Card .cardNumber</t>
  </si>
  <si>
    <t>Movie-Shop</t>
  </si>
  <si>
    <t>MovieShopSystem</t>
  </si>
  <si>
    <t>Movie-Shop .listmovies()</t>
  </si>
  <si>
    <t>Movie-Shop .browseCatalogue()</t>
  </si>
  <si>
    <t>Movie-Shop .order()</t>
  </si>
  <si>
    <t>MovieShopSystem .orderMovie()</t>
  </si>
  <si>
    <t>Movie-Shop .subscribe()</t>
  </si>
  <si>
    <t>MovieShopSystem .handleSubscription()</t>
  </si>
  <si>
    <t>Order .date</t>
  </si>
  <si>
    <t>Order .orderDate</t>
  </si>
  <si>
    <t>Order .user</t>
  </si>
  <si>
    <t>Order .User</t>
  </si>
  <si>
    <t>Movie</t>
  </si>
  <si>
    <t>Movie .name</t>
  </si>
  <si>
    <t>Movie .title</t>
  </si>
  <si>
    <t>Movie .available</t>
  </si>
  <si>
    <t>Movie .type</t>
  </si>
  <si>
    <t>Movie-Buy</t>
  </si>
  <si>
    <t>Movie-Buy .status</t>
  </si>
  <si>
    <t>Movie-Buy .state</t>
  </si>
  <si>
    <t>Movie-Buy .Price-Sell</t>
  </si>
  <si>
    <t>Movie-Buy .sellingprice</t>
  </si>
  <si>
    <t>Movie-Rent</t>
  </si>
  <si>
    <t>Movie-Rent .status</t>
  </si>
  <si>
    <t>Movie-Rent .state</t>
  </si>
  <si>
    <t>Movie-Rent .date</t>
  </si>
  <si>
    <t>Movie-Rent .Price</t>
  </si>
  <si>
    <t>Movie-Rent .rentingprice</t>
  </si>
  <si>
    <t>Generalization (User - Subscriber)</t>
  </si>
  <si>
    <t>Association (User - Movie-Shop)</t>
  </si>
  <si>
    <t>Association (Movie-Shop - Card)</t>
  </si>
  <si>
    <t>Association (Subscriber - Card)</t>
  </si>
  <si>
    <t>Association (Subscriber - RecheargableCard)</t>
  </si>
  <si>
    <t>Aggregation (Movie-Shop - Movie)</t>
  </si>
  <si>
    <t>Association (MovieShopSystem - Movie)</t>
  </si>
  <si>
    <t>Association (Movie-Shop - Order)</t>
  </si>
  <si>
    <t>Association (MovieShopSystem - Order)</t>
  </si>
  <si>
    <t>Association (Order - Movie-Buy)</t>
  </si>
  <si>
    <t>Association (User - Movie-Buy)</t>
  </si>
  <si>
    <t>Association (Subscriber - Movie-Rent)</t>
  </si>
  <si>
    <t>Generalization (Movie - Movie-Rent)</t>
  </si>
  <si>
    <t>Generalization (Movie - Movie-Buy)</t>
  </si>
  <si>
    <t>Association (MovieShopSystem - Subscriber)</t>
  </si>
  <si>
    <t>Association (Order - Movie)</t>
  </si>
  <si>
    <t>Association (Order - User)</t>
  </si>
  <si>
    <t>FamilyInsured</t>
  </si>
  <si>
    <t>Family</t>
  </si>
  <si>
    <t>FamilyInsured .NameofFamilyHead</t>
  </si>
  <si>
    <t>Family .NameofFamilyHead</t>
  </si>
  <si>
    <t>Family .HeadofFamily</t>
  </si>
  <si>
    <t>FamilyInsured .Address</t>
  </si>
  <si>
    <t>Family .address</t>
  </si>
  <si>
    <t>FamilyInsured .Telephone</t>
  </si>
  <si>
    <t>Family .telephone</t>
  </si>
  <si>
    <t>FamilyInsured .InsuranceCarrier</t>
  </si>
  <si>
    <t>Family .Insurancecarrier</t>
  </si>
  <si>
    <t>FamilyInsured .PolicyNumber</t>
  </si>
  <si>
    <t>Family .PolicyNumber</t>
  </si>
  <si>
    <t>Doctor .Name</t>
  </si>
  <si>
    <t>Doctor .Specialty</t>
  </si>
  <si>
    <t>Doctor .Address</t>
  </si>
  <si>
    <t>Doctor .Telephone</t>
  </si>
  <si>
    <t>Doctor .PagerNumber</t>
  </si>
  <si>
    <t>Doctor .SSN</t>
  </si>
  <si>
    <t>Patient .Name</t>
  </si>
  <si>
    <t>Patient .Gender</t>
  </si>
  <si>
    <t>Patient .Birthdate</t>
  </si>
  <si>
    <t>Patient .LastVisitDate</t>
  </si>
  <si>
    <t>Patient .Allergies</t>
  </si>
  <si>
    <t>Patient .Notes</t>
  </si>
  <si>
    <t>Visit</t>
  </si>
  <si>
    <t>Visit .Date</t>
  </si>
  <si>
    <t>Visit .Weight</t>
  </si>
  <si>
    <t>Visit .BloodPressure</t>
  </si>
  <si>
    <t>Visit .Temperature</t>
  </si>
  <si>
    <t>Visit .Reason</t>
  </si>
  <si>
    <t>Visit .DiagnosisNotes</t>
  </si>
  <si>
    <t>Visit .diagnosis</t>
  </si>
  <si>
    <t>Visit .TreatmentNotes</t>
  </si>
  <si>
    <t>Visit .medications</t>
  </si>
  <si>
    <t>Receptionist</t>
  </si>
  <si>
    <t>Nurse</t>
  </si>
  <si>
    <t>Appointment .Reason</t>
  </si>
  <si>
    <t>Prescription</t>
  </si>
  <si>
    <t>Medication</t>
  </si>
  <si>
    <t>Prescription .Date</t>
  </si>
  <si>
    <t>Prescription .Medication</t>
  </si>
  <si>
    <t>Medication .name</t>
  </si>
  <si>
    <t>Prescription .Dosage</t>
  </si>
  <si>
    <t>Medication .dose</t>
  </si>
  <si>
    <t>Prescription .Number</t>
  </si>
  <si>
    <t>Association (FamilyInsured - Patient)</t>
  </si>
  <si>
    <t>Association (Family - Patient)</t>
  </si>
  <si>
    <t>Composition (Family - Patient)</t>
  </si>
  <si>
    <t>Association (FamilyInsured - Doctor)</t>
  </si>
  <si>
    <t>Association (Family - Doctor)</t>
  </si>
  <si>
    <t>Association (Doctor - Visit)</t>
  </si>
  <si>
    <t>Association (Patient - Visit)</t>
  </si>
  <si>
    <t>Composition (Patient - Visit)</t>
  </si>
  <si>
    <t>Association (Patient - Appointment)</t>
  </si>
  <si>
    <t>Composition (Patient - Appointment)</t>
  </si>
  <si>
    <t>Association (Visit - Appointment)</t>
  </si>
  <si>
    <t>Association (Visit - Prescription)</t>
  </si>
  <si>
    <t>Composition (Visit - Medication)</t>
  </si>
  <si>
    <t>Association (Patient - Receptionist)</t>
  </si>
  <si>
    <t>Association (Receptionist - Appointment)</t>
  </si>
  <si>
    <t>Association (Nurse - Visit)</t>
  </si>
  <si>
    <t>Generalization (Person - Patient)</t>
  </si>
  <si>
    <t>Generalization (User - Receptionist)</t>
  </si>
  <si>
    <t>Generalization (User - Nurse)</t>
  </si>
  <si>
    <t>Document</t>
  </si>
  <si>
    <t>Document .numberofpages</t>
  </si>
  <si>
    <t>Document .pages</t>
  </si>
  <si>
    <t>Document .open()</t>
  </si>
  <si>
    <t>User .open()</t>
  </si>
  <si>
    <t>User .openDocument()</t>
  </si>
  <si>
    <t>Document .save()</t>
  </si>
  <si>
    <t>User .save()</t>
  </si>
  <si>
    <t>User .saveDocument()</t>
  </si>
  <si>
    <t>Document .print()</t>
  </si>
  <si>
    <t>User .print()</t>
  </si>
  <si>
    <t>User .printDocument()</t>
  </si>
  <si>
    <t>Document .new()</t>
  </si>
  <si>
    <t>User .new()</t>
  </si>
  <si>
    <t>Page</t>
  </si>
  <si>
    <t>Page .pageNumber</t>
  </si>
  <si>
    <t>Trimming</t>
  </si>
  <si>
    <t>Trimming .date</t>
  </si>
  <si>
    <t>Header/Footer .date</t>
  </si>
  <si>
    <t>Trimming .time</t>
  </si>
  <si>
    <t>Header/Footer .time</t>
  </si>
  <si>
    <t>Trimming .pageNumber</t>
  </si>
  <si>
    <t>Header/Footer .pageNumber</t>
  </si>
  <si>
    <t>Header</t>
  </si>
  <si>
    <t>Footer</t>
  </si>
  <si>
    <t>Character</t>
  </si>
  <si>
    <t>Character .ASCIICode</t>
  </si>
  <si>
    <t>Character .Type</t>
  </si>
  <si>
    <t>Table .rows</t>
  </si>
  <si>
    <t>Table .columns</t>
  </si>
  <si>
    <t>Picture</t>
  </si>
  <si>
    <t>Picture .imageType</t>
  </si>
  <si>
    <t>Picture .imageSize</t>
  </si>
  <si>
    <t>Cell</t>
  </si>
  <si>
    <t>Cell .cellFormat</t>
  </si>
  <si>
    <t>Body</t>
  </si>
  <si>
    <t>Sentence</t>
  </si>
  <si>
    <t>Puntuaction</t>
  </si>
  <si>
    <t>Word</t>
  </si>
  <si>
    <t>ContentItem</t>
  </si>
  <si>
    <t>Row</t>
  </si>
  <si>
    <t>Composition (Document - Page)</t>
  </si>
  <si>
    <t>Association (Document - Page)</t>
  </si>
  <si>
    <t>Aggregation (Page - Trimming)</t>
  </si>
  <si>
    <t>Aggregation (Page - Character)</t>
  </si>
  <si>
    <t>Aggregation (Page - Table)</t>
  </si>
  <si>
    <t>Aggregation (Page - Picture)</t>
  </si>
  <si>
    <t>Aggregation (Cell - Character)</t>
  </si>
  <si>
    <t>Aggregation (Cell - Picture)</t>
  </si>
  <si>
    <t>Composition (Table - Cell)</t>
  </si>
  <si>
    <t>Association (User - Document)</t>
  </si>
  <si>
    <t>Composition (Header - Page)</t>
  </si>
  <si>
    <t>Association (Header - Page)</t>
  </si>
  <si>
    <t>Composition (Page - Footer)</t>
  </si>
  <si>
    <t>Association (Page - Footer)</t>
  </si>
  <si>
    <t>Composition (Page - Body)</t>
  </si>
  <si>
    <t>Association (Page - Body)</t>
  </si>
  <si>
    <t>Aggregation (Body - Sentence)</t>
  </si>
  <si>
    <t>Aggregation (Sentence - Puntuaction)</t>
  </si>
  <si>
    <t>Aggregation (Sentence - Word)</t>
  </si>
  <si>
    <t>Aggregation (Body - Table)</t>
  </si>
  <si>
    <t>Aggregation (Body - Picture)</t>
  </si>
  <si>
    <t>Association (Body - ContentItem)</t>
  </si>
  <si>
    <t>Generalization (ContentItem - Sentence)</t>
  </si>
  <si>
    <t>Generalization (ContentItem - Picture)</t>
  </si>
  <si>
    <t>Generalization (Contentitem - Table)</t>
  </si>
  <si>
    <t>Association (Table - Row)</t>
  </si>
  <si>
    <t>Association (Row - Cell)</t>
  </si>
  <si>
    <t>Take</t>
  </si>
  <si>
    <t>Takes</t>
  </si>
  <si>
    <t>Take .nbr</t>
  </si>
  <si>
    <t>Takes. natural_numbers</t>
  </si>
  <si>
    <t>Take .number</t>
  </si>
  <si>
    <t>Take .filmed_meters</t>
  </si>
  <si>
    <t>Takes .filmed_meters</t>
  </si>
  <si>
    <t>Take .filmLength</t>
  </si>
  <si>
    <t>Take .reel</t>
  </si>
  <si>
    <t>Takes .reel</t>
  </si>
  <si>
    <t>Take .filmCode</t>
  </si>
  <si>
    <t>Setup</t>
  </si>
  <si>
    <t>Setup .code</t>
  </si>
  <si>
    <t>Setup .photographic_pars</t>
  </si>
  <si>
    <t>Setup .photographic_parameters</t>
  </si>
  <si>
    <t>Setup .photographicParameters</t>
  </si>
  <si>
    <t>Setup .description</t>
  </si>
  <si>
    <t>Scene</t>
  </si>
  <si>
    <t>Scene .code</t>
  </si>
  <si>
    <t>Scene .description</t>
  </si>
  <si>
    <t>Internal</t>
  </si>
  <si>
    <t>Internals</t>
  </si>
  <si>
    <t>Internal .theater</t>
  </si>
  <si>
    <t>Internals .teather</t>
  </si>
  <si>
    <t>External</t>
  </si>
  <si>
    <t>Externals</t>
  </si>
  <si>
    <t>External .night_scene</t>
  </si>
  <si>
    <t>External .timeofday</t>
  </si>
  <si>
    <t>Location</t>
  </si>
  <si>
    <t>Location .name</t>
  </si>
  <si>
    <t>Location .code</t>
  </si>
  <si>
    <t>Location .address</t>
  </si>
  <si>
    <t>Location .description</t>
  </si>
  <si>
    <t>Association (Take - Setup)</t>
  </si>
  <si>
    <t>Association (Takes - Setup)</t>
  </si>
  <si>
    <t>Association (Setup - Scene)</t>
  </si>
  <si>
    <t>Generalization (Scene - Internal)</t>
  </si>
  <si>
    <t>Generalization (Scene - Internals)</t>
  </si>
  <si>
    <t>Generalization (Scene - Extenal)</t>
  </si>
  <si>
    <t>Generalization (Scene - Extenals)</t>
  </si>
  <si>
    <t>Association (Externals - Location)</t>
  </si>
  <si>
    <t>Association (External - Location)</t>
  </si>
  <si>
    <t>Association (Scene - Internal)</t>
  </si>
  <si>
    <t>Association (Scene - External)</t>
  </si>
  <si>
    <t>Work Product</t>
  </si>
  <si>
    <t>Work Product .Percent Complete</t>
  </si>
  <si>
    <t>Work Product .Description</t>
  </si>
  <si>
    <t>Work Product .Validate()</t>
  </si>
  <si>
    <t>Requirement</t>
  </si>
  <si>
    <t>Requirement .Media</t>
  </si>
  <si>
    <t>Requirement .Validate()</t>
  </si>
  <si>
    <t>Requirement .ValidateWorkProduct()</t>
  </si>
  <si>
    <t>Requirement .Publish()</t>
  </si>
  <si>
    <t>Requirement .percentComplete</t>
  </si>
  <si>
    <t>Requirement .Description</t>
  </si>
  <si>
    <t>System</t>
  </si>
  <si>
    <t>System .Platform</t>
  </si>
  <si>
    <t>System .Validate()</t>
  </si>
  <si>
    <t>System .Deploy()</t>
  </si>
  <si>
    <t>System .PublishRequirements()</t>
  </si>
  <si>
    <t>Project</t>
  </si>
  <si>
    <t>Project .Name</t>
  </si>
  <si>
    <t>Project .projectID</t>
  </si>
  <si>
    <t>Project .Start Date</t>
  </si>
  <si>
    <t>Project .End Date</t>
  </si>
  <si>
    <t>Project Manager</t>
  </si>
  <si>
    <t>Manager .Name</t>
  </si>
  <si>
    <t>Project Manager .Name</t>
  </si>
  <si>
    <t>Manager .Phone Number</t>
  </si>
  <si>
    <t>Manager .Initiate Project()</t>
  </si>
  <si>
    <t>ProjectManager .Initiate Project()</t>
  </si>
  <si>
    <t>Manager .Terminate Project()</t>
  </si>
  <si>
    <t>ProjectManager .Terminate Project()</t>
  </si>
  <si>
    <t>ProjectManager .startDate</t>
  </si>
  <si>
    <t>ProjectManager .endDate</t>
  </si>
  <si>
    <t>Team</t>
  </si>
  <si>
    <t>Team .Description</t>
  </si>
  <si>
    <t>Validation</t>
  </si>
  <si>
    <t>Generalization (Work Product - Requirement)</t>
  </si>
  <si>
    <t>Generalization (Work Product - System)</t>
  </si>
  <si>
    <t>Association (Requirement - Project)</t>
  </si>
  <si>
    <t>Association (System - Project)</t>
  </si>
  <si>
    <t>Association (Project - Manager)</t>
  </si>
  <si>
    <t>Association (Project - ProjectManager)</t>
  </si>
  <si>
    <t>Association (Project - Team)</t>
  </si>
  <si>
    <t>Association (Manager - Team)</t>
  </si>
  <si>
    <t>Association (ProjectManager - Team)</t>
  </si>
  <si>
    <t>Association (Work Product - Validation)</t>
  </si>
  <si>
    <t>Syntactic Quality</t>
  </si>
  <si>
    <t>Semantic Quality</t>
  </si>
  <si>
    <t>Pragmatic Quality</t>
  </si>
  <si>
    <t>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</si>
</sst>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u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bdbdbd"/>
      </patternFill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2" applyFont="1" fillId="2" applyFill="1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2" applyFont="1" fillId="3" applyFill="1" applyAlignment="1">
      <alignment horizontal="left"/>
    </xf>
    <xf xfId="0" numFmtId="4" applyNumberFormat="1" borderId="3" applyBorder="1" fontId="2" applyFont="1" fillId="0" applyAlignment="1">
      <alignment horizontal="left"/>
    </xf>
    <xf xfId="0" numFmtId="3" applyNumberFormat="1" borderId="3" applyBorder="1" fontId="2" applyFont="1" fillId="4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4" applyBorder="1" fontId="2" applyFont="1" fillId="5" applyFill="1" applyAlignment="1">
      <alignment horizontal="center"/>
    </xf>
    <xf xfId="0" numFmtId="3" applyNumberFormat="1" borderId="5" applyBorder="1" fontId="4" applyFont="1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3" applyBorder="1" fontId="2" applyFont="1" fillId="4" applyFill="1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sharedStrings.xml" Type="http://schemas.openxmlformats.org/officeDocument/2006/relationships/sharedStrings" Id="rId24"/><Relationship Target="styles.xml" Type="http://schemas.openxmlformats.org/officeDocument/2006/relationships/styles" Id="rId25"/><Relationship Target="theme/theme1.xml" Type="http://schemas.openxmlformats.org/officeDocument/2006/relationships/theme" Id="rId26"/></Relationships>
</file>

<file path=xl/tables/table1.xml><?xml version="1.0" encoding="utf-8"?>
<table xmlns="http://schemas.openxmlformats.org/spreadsheetml/2006/main" ref="B2:E22" displayName="Table_4" name="Table_4" id="1" headerRowCount="0" totalsRowShown="0">
  <tableColumns count="4">
    <tableColumn name="Column1" id="1"/>
    <tableColumn name="Column2" id="2"/>
    <tableColumn name="Column3" id="3"/>
    <tableColumn name="Column4" id="4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B2:F31" displayName="Table_3" name="Table_3" id="2" totalsRowShown="0">
  <autoFilter ref="B2:F31"/>
  <tableColumns count="5">
    <tableColumn name="Given Solution" id="1"/>
    <tableColumn name="Human" id="2"/>
    <tableColumn name="LLM" id="3"/>
    <tableColumn name="Distance Human" id="4"/>
    <tableColumn name="Distance LLM" id="5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K7:M9" displayName="Table_2" name="Table_2" id="3" totalsRowShown="0">
  <autoFilter ref="K7:M9"/>
  <tableColumns count="3">
    <tableColumn name="Syntactic Quality" id="1"/>
    <tableColumn name="Semantic Quality" id="2"/>
    <tableColumn name="Pragmatic Quality" id="3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A2:G23" displayName="Table_1" name="Table_1" id="4" headerRowCount="0" totalsRowShown="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Relationship Target="../tables/table4.xml" Type="http://schemas.openxmlformats.org/officeDocument/2006/relationships/table" Id="rId2"/></Relationships>
</file>

<file path=xl/worksheets/_rels/sheet1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3"/>
  <sheetViews>
    <sheetView workbookViewId="0"/>
  </sheetViews>
  <sheetFormatPr defaultRowHeight="15" x14ac:dyDescent="0.25"/>
  <cols>
    <col min="1" max="1" style="29" width="12.43357142857143" customWidth="1" bestFit="1"/>
    <col min="2" max="2" style="13" width="12.43357142857143" customWidth="1" bestFit="1"/>
    <col min="3" max="3" style="13" width="12.43357142857143" customWidth="1" bestFit="1"/>
    <col min="4" max="4" style="13" width="12.43357142857143" customWidth="1" bestFit="1"/>
    <col min="5" max="5" style="13" width="12.43357142857143" customWidth="1" bestFit="1"/>
    <col min="6" max="6" style="13" width="12.43357142857143" customWidth="1" bestFit="1"/>
    <col min="7" max="7" style="13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6.433571428571429" customWidth="1" bestFit="1"/>
    <col min="11" max="11" style="13" width="12.576428571428572" customWidth="1" bestFit="1"/>
    <col min="12" max="12" style="13" width="12.43357142857143" customWidth="1" bestFit="1"/>
    <col min="13" max="13" style="13" width="12.43357142857143" customWidth="1" bestFit="1"/>
  </cols>
  <sheetData>
    <row x14ac:dyDescent="0.25" r="1" customHeight="1" ht="17.25">
      <c r="A1" s="23"/>
      <c r="B1" s="24" t="s">
        <v>985</v>
      </c>
      <c r="C1" s="25"/>
      <c r="D1" s="24" t="s">
        <v>986</v>
      </c>
      <c r="E1" s="25"/>
      <c r="F1" s="24" t="s">
        <v>987</v>
      </c>
      <c r="G1" s="25"/>
      <c r="H1" s="1"/>
      <c r="I1" s="1"/>
      <c r="J1" s="1"/>
      <c r="K1" s="2"/>
      <c r="L1" s="2"/>
      <c r="M1" s="2"/>
    </row>
    <row x14ac:dyDescent="0.25" r="2" customHeight="1" ht="17.25">
      <c r="A2" s="15"/>
      <c r="B2" s="26" t="s">
        <v>10</v>
      </c>
      <c r="C2" s="26" t="s">
        <v>11</v>
      </c>
      <c r="D2" s="26" t="s">
        <v>10</v>
      </c>
      <c r="E2" s="26" t="s">
        <v>11</v>
      </c>
      <c r="F2" s="26" t="s">
        <v>10</v>
      </c>
      <c r="G2" s="26" t="s">
        <v>11</v>
      </c>
      <c r="H2" s="1"/>
      <c r="I2" s="1"/>
      <c r="J2" s="1"/>
      <c r="K2" s="2"/>
      <c r="L2" s="2"/>
      <c r="M2" s="2"/>
    </row>
    <row x14ac:dyDescent="0.25" r="3" customHeight="1" ht="17.25">
      <c r="A3" s="17">
        <v>1</v>
      </c>
      <c r="B3" s="22">
        <v>0</v>
      </c>
      <c r="C3" s="22">
        <v>0</v>
      </c>
      <c r="D3" s="22">
        <v>2</v>
      </c>
      <c r="E3" s="22">
        <v>9</v>
      </c>
      <c r="F3" s="22">
        <v>2</v>
      </c>
      <c r="G3" s="22">
        <v>1</v>
      </c>
      <c r="H3" s="1"/>
      <c r="I3" s="1"/>
      <c r="J3" s="1"/>
      <c r="K3" s="2"/>
      <c r="L3" s="2"/>
      <c r="M3" s="2"/>
    </row>
    <row x14ac:dyDescent="0.25" r="4" customHeight="1" ht="17.25">
      <c r="A4" s="17">
        <v>2</v>
      </c>
      <c r="B4" s="22">
        <v>3</v>
      </c>
      <c r="C4" s="22">
        <v>2</v>
      </c>
      <c r="D4" s="22">
        <v>0</v>
      </c>
      <c r="E4" s="22">
        <v>3</v>
      </c>
      <c r="F4" s="22">
        <v>0</v>
      </c>
      <c r="G4" s="22">
        <v>0</v>
      </c>
      <c r="H4" s="1"/>
      <c r="I4" s="1"/>
      <c r="J4" s="1"/>
      <c r="K4" s="2"/>
      <c r="L4" s="2"/>
      <c r="M4" s="2"/>
    </row>
    <row x14ac:dyDescent="0.25" r="5" customHeight="1" ht="17.25">
      <c r="A5" s="17">
        <v>3</v>
      </c>
      <c r="B5" s="22">
        <v>0</v>
      </c>
      <c r="C5" s="22">
        <v>0</v>
      </c>
      <c r="D5" s="22">
        <v>1</v>
      </c>
      <c r="E5" s="22">
        <v>14</v>
      </c>
      <c r="F5" s="22">
        <v>2</v>
      </c>
      <c r="G5" s="22">
        <v>1</v>
      </c>
      <c r="H5" s="1"/>
      <c r="I5" s="1"/>
      <c r="J5" s="1"/>
      <c r="K5" s="2"/>
      <c r="L5" s="2"/>
      <c r="M5" s="2"/>
    </row>
    <row x14ac:dyDescent="0.25" r="6" customHeight="1" ht="17.25">
      <c r="A6" s="17">
        <v>4</v>
      </c>
      <c r="B6" s="22">
        <v>0</v>
      </c>
      <c r="C6" s="22">
        <v>1</v>
      </c>
      <c r="D6" s="22">
        <v>0</v>
      </c>
      <c r="E6" s="22">
        <v>5</v>
      </c>
      <c r="F6" s="22">
        <v>1</v>
      </c>
      <c r="G6" s="22">
        <v>1</v>
      </c>
      <c r="H6" s="1"/>
      <c r="I6" s="1"/>
      <c r="J6" s="1"/>
      <c r="K6" s="2"/>
      <c r="L6" s="2"/>
      <c r="M6" s="2"/>
    </row>
    <row x14ac:dyDescent="0.25" r="7" customHeight="1" ht="17.25">
      <c r="A7" s="17">
        <v>5</v>
      </c>
      <c r="B7" s="22">
        <v>1</v>
      </c>
      <c r="C7" s="22">
        <v>0</v>
      </c>
      <c r="D7" s="22">
        <v>0</v>
      </c>
      <c r="E7" s="22">
        <v>6</v>
      </c>
      <c r="F7" s="22">
        <v>0</v>
      </c>
      <c r="G7" s="22">
        <v>0</v>
      </c>
      <c r="H7" s="1"/>
      <c r="I7" s="1"/>
      <c r="J7" s="27"/>
      <c r="K7" s="26" t="s">
        <v>985</v>
      </c>
      <c r="L7" s="26" t="s">
        <v>986</v>
      </c>
      <c r="M7" s="26" t="s">
        <v>987</v>
      </c>
    </row>
    <row x14ac:dyDescent="0.25" r="8" customHeight="1" ht="17.25">
      <c r="A8" s="17">
        <v>6</v>
      </c>
      <c r="B8" s="22">
        <v>0</v>
      </c>
      <c r="C8" s="22">
        <v>0</v>
      </c>
      <c r="D8" s="22">
        <v>7</v>
      </c>
      <c r="E8" s="22">
        <v>5</v>
      </c>
      <c r="F8" s="22">
        <v>3</v>
      </c>
      <c r="G8" s="22">
        <v>3</v>
      </c>
      <c r="H8" s="1"/>
      <c r="I8" s="1"/>
      <c r="J8" s="28" t="s">
        <v>10</v>
      </c>
      <c r="K8" s="26">
        <f>B23</f>
      </c>
      <c r="L8" s="26">
        <f>D23</f>
      </c>
      <c r="M8" s="26">
        <f>F23</f>
      </c>
    </row>
    <row x14ac:dyDescent="0.25" r="9" customHeight="1" ht="17.25">
      <c r="A9" s="17">
        <v>7</v>
      </c>
      <c r="B9" s="22">
        <v>0</v>
      </c>
      <c r="C9" s="22">
        <v>1</v>
      </c>
      <c r="D9" s="22">
        <v>0</v>
      </c>
      <c r="E9" s="22">
        <v>1</v>
      </c>
      <c r="F9" s="22">
        <v>0</v>
      </c>
      <c r="G9" s="22">
        <v>2</v>
      </c>
      <c r="H9" s="1"/>
      <c r="I9" s="1"/>
      <c r="J9" s="28" t="s">
        <v>11</v>
      </c>
      <c r="K9" s="26">
        <f>C23</f>
      </c>
      <c r="L9" s="26">
        <f>E23</f>
      </c>
      <c r="M9" s="26">
        <f>G23</f>
      </c>
    </row>
    <row x14ac:dyDescent="0.25" r="10" customHeight="1" ht="17.25">
      <c r="A10" s="17">
        <v>8</v>
      </c>
      <c r="B10" s="22">
        <v>0</v>
      </c>
      <c r="C10" s="22">
        <v>1</v>
      </c>
      <c r="D10" s="22">
        <v>1</v>
      </c>
      <c r="E10" s="22">
        <f>2</f>
      </c>
      <c r="F10" s="22">
        <v>1</v>
      </c>
      <c r="G10" s="22">
        <v>2</v>
      </c>
      <c r="H10" s="1"/>
      <c r="I10" s="1"/>
      <c r="J10" s="1"/>
      <c r="K10" s="2"/>
      <c r="L10" s="2"/>
      <c r="M10" s="2"/>
    </row>
    <row x14ac:dyDescent="0.25" r="11" customHeight="1" ht="17.25">
      <c r="A11" s="17">
        <v>9</v>
      </c>
      <c r="B11" s="22">
        <v>0</v>
      </c>
      <c r="C11" s="22">
        <v>1</v>
      </c>
      <c r="D11" s="22">
        <v>1</v>
      </c>
      <c r="E11" s="22">
        <v>6</v>
      </c>
      <c r="F11" s="22">
        <v>4</v>
      </c>
      <c r="G11" s="22">
        <v>3</v>
      </c>
      <c r="H11" s="1"/>
      <c r="I11" s="1"/>
      <c r="J11" s="1"/>
      <c r="K11" s="2"/>
      <c r="L11" s="2"/>
      <c r="M11" s="2"/>
    </row>
    <row x14ac:dyDescent="0.25" r="12" customHeight="1" ht="17.25">
      <c r="A12" s="17">
        <v>10</v>
      </c>
      <c r="B12" s="22">
        <v>0</v>
      </c>
      <c r="C12" s="22">
        <v>2</v>
      </c>
      <c r="D12" s="22">
        <v>1</v>
      </c>
      <c r="E12" s="22">
        <v>1</v>
      </c>
      <c r="F12" s="22">
        <v>1</v>
      </c>
      <c r="G12" s="22">
        <v>2</v>
      </c>
      <c r="H12" s="1"/>
      <c r="I12" s="1"/>
      <c r="J12" s="1"/>
      <c r="K12" s="2"/>
      <c r="L12" s="2"/>
      <c r="M12" s="2"/>
    </row>
    <row x14ac:dyDescent="0.25" r="13" customHeight="1" ht="17.25">
      <c r="A13" s="17">
        <v>11</v>
      </c>
      <c r="B13" s="22">
        <v>0</v>
      </c>
      <c r="C13" s="22">
        <v>1</v>
      </c>
      <c r="D13" s="22">
        <v>3</v>
      </c>
      <c r="E13" s="22">
        <v>5</v>
      </c>
      <c r="F13" s="22">
        <v>2</v>
      </c>
      <c r="G13" s="22">
        <v>1</v>
      </c>
      <c r="H13" s="1"/>
      <c r="I13" s="1"/>
      <c r="J13" s="1"/>
      <c r="K13" s="2"/>
      <c r="L13" s="2"/>
      <c r="M13" s="2"/>
    </row>
    <row x14ac:dyDescent="0.25" r="14" customHeight="1" ht="17.25">
      <c r="A14" s="17">
        <v>12</v>
      </c>
      <c r="B14" s="22">
        <v>0</v>
      </c>
      <c r="C14" s="22">
        <v>1</v>
      </c>
      <c r="D14" s="22">
        <v>1</v>
      </c>
      <c r="E14" s="22">
        <v>1</v>
      </c>
      <c r="F14" s="22">
        <v>0</v>
      </c>
      <c r="G14" s="22">
        <v>1</v>
      </c>
      <c r="H14" s="1"/>
      <c r="I14" s="1"/>
      <c r="J14" s="1"/>
      <c r="K14" s="2"/>
      <c r="L14" s="2"/>
      <c r="M14" s="2"/>
    </row>
    <row x14ac:dyDescent="0.25" r="15" customHeight="1" ht="17.25">
      <c r="A15" s="17">
        <v>13</v>
      </c>
      <c r="B15" s="22">
        <v>0</v>
      </c>
      <c r="C15" s="22">
        <v>0</v>
      </c>
      <c r="D15" s="22">
        <v>0</v>
      </c>
      <c r="E15" s="22">
        <v>3</v>
      </c>
      <c r="F15" s="22">
        <v>1</v>
      </c>
      <c r="G15" s="22">
        <v>1</v>
      </c>
      <c r="H15" s="1"/>
      <c r="I15" s="1"/>
      <c r="J15" s="1"/>
      <c r="K15" s="2"/>
      <c r="L15" s="2"/>
      <c r="M15" s="2"/>
    </row>
    <row x14ac:dyDescent="0.25" r="16" customHeight="1" ht="17.25">
      <c r="A16" s="17">
        <v>14</v>
      </c>
      <c r="B16" s="22">
        <v>0</v>
      </c>
      <c r="C16" s="22">
        <v>0</v>
      </c>
      <c r="D16" s="22">
        <v>1</v>
      </c>
      <c r="E16" s="22">
        <v>6</v>
      </c>
      <c r="F16" s="22">
        <v>1</v>
      </c>
      <c r="G16" s="22">
        <v>1</v>
      </c>
      <c r="H16" s="1"/>
      <c r="I16" s="1"/>
      <c r="J16" s="1"/>
      <c r="K16" s="2"/>
      <c r="L16" s="2"/>
      <c r="M16" s="2"/>
    </row>
    <row x14ac:dyDescent="0.25" r="17" customHeight="1" ht="17.25">
      <c r="A17" s="17">
        <v>15</v>
      </c>
      <c r="B17" s="22">
        <v>4</v>
      </c>
      <c r="C17" s="22">
        <v>1</v>
      </c>
      <c r="D17" s="22">
        <v>5</v>
      </c>
      <c r="E17" s="22">
        <v>7</v>
      </c>
      <c r="F17" s="22">
        <v>0</v>
      </c>
      <c r="G17" s="22">
        <v>2</v>
      </c>
      <c r="H17" s="1"/>
      <c r="I17" s="1"/>
      <c r="J17" s="1"/>
      <c r="K17" s="2"/>
      <c r="L17" s="2"/>
      <c r="M17" s="2"/>
    </row>
    <row x14ac:dyDescent="0.25" r="18" customHeight="1" ht="17.25">
      <c r="A18" s="17">
        <v>16</v>
      </c>
      <c r="B18" s="22">
        <v>2</v>
      </c>
      <c r="C18" s="22">
        <v>2</v>
      </c>
      <c r="D18" s="22">
        <v>2</v>
      </c>
      <c r="E18" s="22">
        <v>8</v>
      </c>
      <c r="F18" s="22">
        <v>2</v>
      </c>
      <c r="G18" s="22">
        <v>3</v>
      </c>
      <c r="H18" s="1"/>
      <c r="I18" s="1"/>
      <c r="J18" s="1"/>
      <c r="K18" s="2"/>
      <c r="L18" s="2"/>
      <c r="M18" s="2"/>
    </row>
    <row x14ac:dyDescent="0.25" r="19" customHeight="1" ht="17.25">
      <c r="A19" s="17">
        <v>17</v>
      </c>
      <c r="B19" s="22">
        <v>0</v>
      </c>
      <c r="C19" s="22">
        <v>0</v>
      </c>
      <c r="D19" s="22">
        <v>2</v>
      </c>
      <c r="E19" s="22">
        <v>0</v>
      </c>
      <c r="F19" s="22">
        <v>1</v>
      </c>
      <c r="G19" s="22">
        <v>2</v>
      </c>
      <c r="H19" s="1"/>
      <c r="I19" s="1"/>
      <c r="J19" s="1"/>
      <c r="K19" s="2"/>
      <c r="L19" s="2"/>
      <c r="M19" s="2"/>
    </row>
    <row x14ac:dyDescent="0.25" r="20" customHeight="1" ht="17.25">
      <c r="A20" s="17">
        <v>18</v>
      </c>
      <c r="B20" s="22">
        <v>0</v>
      </c>
      <c r="C20" s="22">
        <v>2</v>
      </c>
      <c r="D20" s="22">
        <v>3</v>
      </c>
      <c r="E20" s="22">
        <v>5</v>
      </c>
      <c r="F20" s="22">
        <v>1</v>
      </c>
      <c r="G20" s="22">
        <v>1</v>
      </c>
      <c r="H20" s="1"/>
      <c r="I20" s="1"/>
      <c r="J20" s="1"/>
      <c r="K20" s="2"/>
      <c r="L20" s="2"/>
      <c r="M20" s="2"/>
    </row>
    <row x14ac:dyDescent="0.25" r="21" customHeight="1" ht="17.25">
      <c r="A21" s="17">
        <v>19</v>
      </c>
      <c r="B21" s="22">
        <v>0</v>
      </c>
      <c r="C21" s="22">
        <v>1</v>
      </c>
      <c r="D21" s="22">
        <v>3</v>
      </c>
      <c r="E21" s="22">
        <v>4</v>
      </c>
      <c r="F21" s="22">
        <v>0</v>
      </c>
      <c r="G21" s="22">
        <v>3</v>
      </c>
      <c r="H21" s="1"/>
      <c r="I21" s="1"/>
      <c r="J21" s="1"/>
      <c r="K21" s="2"/>
      <c r="L21" s="2"/>
      <c r="M21" s="2"/>
    </row>
    <row x14ac:dyDescent="0.25" r="22" customHeight="1" ht="17.25">
      <c r="A22" s="17">
        <v>20</v>
      </c>
      <c r="B22" s="22">
        <v>0</v>
      </c>
      <c r="C22" s="22">
        <v>2</v>
      </c>
      <c r="D22" s="22">
        <v>2</v>
      </c>
      <c r="E22" s="22">
        <v>6</v>
      </c>
      <c r="F22" s="22">
        <v>0</v>
      </c>
      <c r="G22" s="22">
        <v>2</v>
      </c>
      <c r="H22" s="1"/>
      <c r="I22" s="1"/>
      <c r="J22" s="1"/>
      <c r="K22" s="2"/>
      <c r="L22" s="2"/>
      <c r="M22" s="2"/>
    </row>
    <row x14ac:dyDescent="0.25" r="23" customHeight="1" ht="17.25">
      <c r="A23" s="26" t="s">
        <v>988</v>
      </c>
      <c r="B23" s="22">
        <f>SUM(B3:B22)</f>
      </c>
      <c r="C23" s="22">
        <f>SUM(C3:C22)</f>
      </c>
      <c r="D23" s="22">
        <f>SUM(D3:D22)</f>
      </c>
      <c r="E23" s="22">
        <f>SUM(E3:E22)</f>
      </c>
      <c r="F23" s="22">
        <f>SUM(F3:F22)</f>
      </c>
      <c r="G23" s="22">
        <f>SUM(G3:G22)</f>
      </c>
      <c r="H23" s="1"/>
      <c r="I23" s="1"/>
      <c r="J23" s="1"/>
      <c r="K23" s="2"/>
      <c r="L23" s="2"/>
      <c r="M23" s="2"/>
    </row>
  </sheetData>
  <mergeCells count="3">
    <mergeCell ref="B1:C1"/>
    <mergeCell ref="D1:E1"/>
    <mergeCell ref="F1:G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4.43357142857143" customWidth="1" bestFit="1"/>
    <col min="3" max="3" style="11" width="34.43357142857143" customWidth="1" bestFit="1"/>
    <col min="4" max="4" style="20" width="34.43357142857143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941</v>
      </c>
      <c r="C3" s="7" t="s">
        <v>941</v>
      </c>
      <c r="D3" s="7" t="s">
        <v>941</v>
      </c>
      <c r="E3" s="8">
        <f>0</f>
      </c>
      <c r="F3" s="8">
        <f>0</f>
      </c>
    </row>
    <row x14ac:dyDescent="0.25" r="4" customHeight="1" ht="17.25">
      <c r="A4" s="1"/>
      <c r="B4" s="7" t="s">
        <v>942</v>
      </c>
      <c r="C4" s="7" t="s">
        <v>942</v>
      </c>
      <c r="D4" s="7" t="s">
        <v>22</v>
      </c>
      <c r="E4" s="8">
        <f>SQRT(0^2 + 0^2 + 0^2 + 0^2)</f>
      </c>
      <c r="F4" s="8">
        <f>SQRT(1^2 + 1^2 + 1^2 + 1^2)</f>
      </c>
    </row>
    <row x14ac:dyDescent="0.25" r="5" customHeight="1" ht="17.25">
      <c r="A5" s="1"/>
      <c r="B5" s="7" t="s">
        <v>943</v>
      </c>
      <c r="C5" s="7" t="s">
        <v>943</v>
      </c>
      <c r="D5" s="7" t="s">
        <v>22</v>
      </c>
      <c r="E5" s="8">
        <f>SQRT(0^2 + 0^2 + 0^2 + 0^2)</f>
      </c>
      <c r="F5" s="8">
        <f>SQRT(1^2 + 1^2 + 1^2 + 1^2)</f>
      </c>
    </row>
    <row x14ac:dyDescent="0.25" r="6" customHeight="1" ht="17.25">
      <c r="A6" s="1"/>
      <c r="B6" s="7" t="s">
        <v>944</v>
      </c>
      <c r="C6" s="7" t="s">
        <v>944</v>
      </c>
      <c r="D6" s="7" t="s">
        <v>22</v>
      </c>
      <c r="E6" s="8">
        <f>SQRT(0^2 + 0^2 + 0^2 + 0^2 + 0^2 + 0^2)</f>
      </c>
      <c r="F6" s="10">
        <f>SQRT(1^2 + 1^2 + 1^2 + 1^2 + 0.5^2 + 1^2)</f>
      </c>
    </row>
    <row x14ac:dyDescent="0.25" r="7" customHeight="1" ht="17.25">
      <c r="A7" s="1"/>
      <c r="B7" s="7" t="s">
        <v>945</v>
      </c>
      <c r="C7" s="7" t="s">
        <v>945</v>
      </c>
      <c r="D7" s="7" t="s">
        <v>945</v>
      </c>
      <c r="E7" s="8">
        <f>0</f>
      </c>
      <c r="F7" s="8">
        <f>0</f>
      </c>
    </row>
    <row x14ac:dyDescent="0.25" r="8" customHeight="1" ht="17.25">
      <c r="A8" s="1"/>
      <c r="B8" s="7" t="s">
        <v>946</v>
      </c>
      <c r="C8" s="7" t="s">
        <v>22</v>
      </c>
      <c r="D8" s="7" t="s">
        <v>22</v>
      </c>
      <c r="E8" s="8">
        <f>SQRT(1^2 + 1^2 + 1^2 + 1^2)</f>
      </c>
      <c r="F8" s="8">
        <f>SQRT(1^2 + 1^2 + 1^2 + 1^2)</f>
      </c>
    </row>
    <row x14ac:dyDescent="0.25" r="9" customHeight="1" ht="17.25">
      <c r="A9" s="1"/>
      <c r="B9" s="7" t="s">
        <v>947</v>
      </c>
      <c r="C9" s="7" t="s">
        <v>22</v>
      </c>
      <c r="D9" s="7" t="s">
        <v>948</v>
      </c>
      <c r="E9" s="10">
        <f>SQRT(1^2 + 1^2 + 1^2 + 1^2 + 0.5^2 + 1^2)</f>
      </c>
      <c r="F9" s="8">
        <f>SQRT(0^2 + 0^2 + 0^2 + 1^2 + 0^2 + 0^2)</f>
      </c>
    </row>
    <row x14ac:dyDescent="0.25" r="10" customHeight="1" ht="17.25">
      <c r="A10" s="1"/>
      <c r="B10" s="7" t="s">
        <v>949</v>
      </c>
      <c r="C10" s="7" t="s">
        <v>949</v>
      </c>
      <c r="D10" s="7" t="s">
        <v>22</v>
      </c>
      <c r="E10" s="8">
        <f>SQRT(0^2 + 0^2 + 0^2 + 0^2 + 0^2 + 0^2)</f>
      </c>
      <c r="F10" s="10">
        <f>SQRT(1^2 + 1^2 + 1^2 + 1^2 + 0.5^2 + 1^2)</f>
      </c>
    </row>
    <row x14ac:dyDescent="0.25" r="11" customHeight="1" ht="17.25">
      <c r="A11" s="1"/>
      <c r="B11" s="7" t="s">
        <v>22</v>
      </c>
      <c r="C11" s="7" t="s">
        <v>22</v>
      </c>
      <c r="D11" s="7" t="s">
        <v>950</v>
      </c>
      <c r="E11" s="8">
        <f>SQRT(0^2 + 0^2 + 0^2 + 0^2 + 0^2 + 0^2)</f>
      </c>
      <c r="F11" s="8">
        <f>SQRT(1^2 + 1^2 + 1^2 + 1^2)</f>
      </c>
    </row>
    <row x14ac:dyDescent="0.25" r="12" customHeight="1" ht="17.25">
      <c r="A12" s="1"/>
      <c r="B12" s="7" t="s">
        <v>22</v>
      </c>
      <c r="C12" s="7" t="s">
        <v>22</v>
      </c>
      <c r="D12" s="7" t="s">
        <v>951</v>
      </c>
      <c r="E12" s="8">
        <f>SQRT(0^2 + 0^2 + 0^2 + 0^2 + 0^2 + 0^2)</f>
      </c>
      <c r="F12" s="8">
        <f>SQRT(1^2 + 1^2 + 1^2 + 1^2)</f>
      </c>
    </row>
    <row x14ac:dyDescent="0.25" r="13" customHeight="1" ht="17.25">
      <c r="A13" s="1"/>
      <c r="B13" s="7" t="s">
        <v>952</v>
      </c>
      <c r="C13" s="7" t="s">
        <v>952</v>
      </c>
      <c r="D13" s="7" t="s">
        <v>952</v>
      </c>
      <c r="E13" s="8">
        <f>0</f>
      </c>
      <c r="F13" s="8">
        <f>0</f>
      </c>
    </row>
    <row x14ac:dyDescent="0.25" r="14" customHeight="1" ht="17.25">
      <c r="A14" s="1"/>
      <c r="B14" s="7" t="s">
        <v>953</v>
      </c>
      <c r="C14" s="7" t="s">
        <v>22</v>
      </c>
      <c r="D14" s="7" t="s">
        <v>22</v>
      </c>
      <c r="E14" s="8">
        <f>SQRT(0^2 + 0^2 + 0^2 + 0^2)</f>
      </c>
      <c r="F14" s="8">
        <f>SQRT(1^2 + 1^2 + 1^2 + 1^2)</f>
      </c>
    </row>
    <row x14ac:dyDescent="0.25" r="15" customHeight="1" ht="17.25">
      <c r="A15" s="1"/>
      <c r="B15" s="7" t="s">
        <v>954</v>
      </c>
      <c r="C15" s="7" t="s">
        <v>22</v>
      </c>
      <c r="D15" s="7" t="s">
        <v>22</v>
      </c>
      <c r="E15" s="10">
        <f>SQRT(1^2 + 1^2 + 1^2 + 1^2 + 0.5^2 + 1^2)</f>
      </c>
      <c r="F15" s="10">
        <f>SQRT(1^2 + 1^2 + 1^2 + 1^2 + 0.5^2 + 1^2)</f>
      </c>
    </row>
    <row x14ac:dyDescent="0.25" r="16" customHeight="1" ht="17.25">
      <c r="A16" s="1"/>
      <c r="B16" s="7" t="s">
        <v>955</v>
      </c>
      <c r="C16" s="7" t="s">
        <v>955</v>
      </c>
      <c r="D16" s="7" t="s">
        <v>955</v>
      </c>
      <c r="E16" s="8">
        <f>SQRT(0^2 + 0^2 + 0^2 + 0^2 + 0^2 + 0^2)</f>
      </c>
      <c r="F16" s="8">
        <f>SQRT(0^2 + 0^2 + 0^2 + 0^2 + 0^2 + 0^2)</f>
      </c>
    </row>
    <row x14ac:dyDescent="0.25" r="17" customHeight="1" ht="17.25">
      <c r="A17" s="1"/>
      <c r="B17" s="7" t="s">
        <v>22</v>
      </c>
      <c r="C17" s="7" t="s">
        <v>22</v>
      </c>
      <c r="D17" s="7" t="s">
        <v>956</v>
      </c>
      <c r="E17" s="8">
        <f>SQRT(0^2 + 0^2 + 0^2 + 0^2 + 0^2 + 0^2)</f>
      </c>
      <c r="F17" s="10">
        <f>SQRT(1^2 + 1^2 + 1^2 + 1^2 + 0.5^2 + 1^2)</f>
      </c>
    </row>
    <row x14ac:dyDescent="0.25" r="18" customHeight="1" ht="17.25">
      <c r="A18" s="1"/>
      <c r="B18" s="7" t="s">
        <v>957</v>
      </c>
      <c r="C18" s="7" t="s">
        <v>957</v>
      </c>
      <c r="D18" s="7" t="s">
        <v>957</v>
      </c>
      <c r="E18" s="8">
        <f>0</f>
      </c>
      <c r="F18" s="8">
        <f>0</f>
      </c>
    </row>
    <row x14ac:dyDescent="0.25" r="19" customHeight="1" ht="17.25">
      <c r="A19" s="1"/>
      <c r="B19" s="7" t="s">
        <v>958</v>
      </c>
      <c r="C19" s="7" t="s">
        <v>958</v>
      </c>
      <c r="D19" s="7" t="s">
        <v>959</v>
      </c>
      <c r="E19" s="8">
        <f>SQRT(0^2 + 0^2 + 0^2 + 0^2)</f>
      </c>
      <c r="F19" s="10">
        <f>SQRT(0^2 + 0^2 + 1^2 + 1^2)</f>
      </c>
    </row>
    <row x14ac:dyDescent="0.25" r="20" customHeight="1" ht="17.25">
      <c r="A20" s="1"/>
      <c r="B20" s="7" t="s">
        <v>960</v>
      </c>
      <c r="C20" s="7" t="s">
        <v>960</v>
      </c>
      <c r="D20" s="7" t="s">
        <v>22</v>
      </c>
      <c r="E20" s="8">
        <f>SQRT(0^2 + 0^2 + 0^2 + 0^2)</f>
      </c>
      <c r="F20" s="8">
        <f>SQRT(1^2 + 1^2 + 1^2 + 1^2)</f>
      </c>
    </row>
    <row x14ac:dyDescent="0.25" r="21" customHeight="1" ht="17.25">
      <c r="A21" s="1"/>
      <c r="B21" s="7" t="s">
        <v>961</v>
      </c>
      <c r="C21" s="7" t="s">
        <v>961</v>
      </c>
      <c r="D21" s="7" t="s">
        <v>22</v>
      </c>
      <c r="E21" s="8">
        <f>SQRT(0^2 + 0^2 + 0^2 + 0^2)</f>
      </c>
      <c r="F21" s="8">
        <f>SQRT(1^2 + 1^2 + 1^2 + 1^2)</f>
      </c>
    </row>
    <row x14ac:dyDescent="0.25" r="22" customHeight="1" ht="17.25">
      <c r="A22" s="1"/>
      <c r="B22" s="7" t="s">
        <v>213</v>
      </c>
      <c r="C22" s="7" t="s">
        <v>962</v>
      </c>
      <c r="D22" s="7" t="s">
        <v>962</v>
      </c>
      <c r="E22" s="10">
        <f>0.5</f>
      </c>
      <c r="F22" s="10">
        <f>0.5</f>
      </c>
    </row>
    <row x14ac:dyDescent="0.25" r="23" customHeight="1" ht="17.25">
      <c r="A23" s="1"/>
      <c r="B23" s="7" t="s">
        <v>963</v>
      </c>
      <c r="C23" s="7" t="s">
        <v>964</v>
      </c>
      <c r="D23" s="7" t="s">
        <v>964</v>
      </c>
      <c r="E23" s="8">
        <f>SQRT(0^2 + 0^2 + 0^2 + 0^2)</f>
      </c>
      <c r="F23" s="8">
        <f>SQRT(0^2 + 0^2 + 0^2 + 0^2)</f>
      </c>
    </row>
    <row x14ac:dyDescent="0.25" r="24" customHeight="1" ht="17.25">
      <c r="A24" s="1"/>
      <c r="B24" s="7" t="s">
        <v>965</v>
      </c>
      <c r="C24" s="7" t="s">
        <v>22</v>
      </c>
      <c r="D24" s="7" t="s">
        <v>22</v>
      </c>
      <c r="E24" s="8">
        <f>SQRT(1^2 + 1^2 + 1^2 + 1^2)</f>
      </c>
      <c r="F24" s="8">
        <f>SQRT(1^2 + 1^2 + 1^2 + 1^2)</f>
      </c>
    </row>
    <row x14ac:dyDescent="0.25" r="25" customHeight="1" ht="17.25">
      <c r="A25" s="1"/>
      <c r="B25" s="7" t="s">
        <v>966</v>
      </c>
      <c r="C25" s="7" t="s">
        <v>967</v>
      </c>
      <c r="D25" s="7" t="s">
        <v>967</v>
      </c>
      <c r="E25" s="8">
        <f>SQRT(0^2 + 0^2 + 0^2 + 0^2 + 0^2 + 0^2)</f>
      </c>
      <c r="F25" s="8">
        <f>SQRT(0^2 + 0^2 + 0^2 + 0^2 + 0^2 + 0^2)</f>
      </c>
    </row>
    <row x14ac:dyDescent="0.25" r="26" customHeight="1" ht="17.25">
      <c r="A26" s="1"/>
      <c r="B26" s="7" t="s">
        <v>968</v>
      </c>
      <c r="C26" s="7" t="s">
        <v>969</v>
      </c>
      <c r="D26" s="7" t="s">
        <v>969</v>
      </c>
      <c r="E26" s="8">
        <f>SQRT(0^2 + 0^2 + 0^2 + 0^2 + 0^2 + 0^2)</f>
      </c>
      <c r="F26" s="8">
        <f>SQRT(0^2 + 0^2 + 0^2 + 0^2 + 0^2 + 0^2)</f>
      </c>
    </row>
    <row x14ac:dyDescent="0.25" r="27" customHeight="1" ht="17.25">
      <c r="A27" s="1"/>
      <c r="B27" s="7" t="s">
        <v>22</v>
      </c>
      <c r="C27" s="7" t="s">
        <v>22</v>
      </c>
      <c r="D27" s="7" t="s">
        <v>970</v>
      </c>
      <c r="E27" s="8">
        <f>SQRT(0^2 + 0^2 + 0^2 + 0^2)</f>
      </c>
      <c r="F27" s="8">
        <f>SQRT(1^2 + 1^2 + 1^2 + 1^2)</f>
      </c>
    </row>
    <row x14ac:dyDescent="0.25" r="28" customHeight="1" ht="17.25">
      <c r="A28" s="1"/>
      <c r="B28" s="7" t="s">
        <v>22</v>
      </c>
      <c r="C28" s="7" t="s">
        <v>22</v>
      </c>
      <c r="D28" s="7" t="s">
        <v>971</v>
      </c>
      <c r="E28" s="8">
        <f>SQRT(0^2 + 0^2 + 0^2 + 0^2)</f>
      </c>
      <c r="F28" s="8">
        <f>SQRT(1^2 + 1^2 + 1^2 + 1^2)</f>
      </c>
    </row>
    <row x14ac:dyDescent="0.25" r="29" customHeight="1" ht="17.25">
      <c r="A29" s="1"/>
      <c r="B29" s="7" t="s">
        <v>972</v>
      </c>
      <c r="C29" s="7" t="s">
        <v>972</v>
      </c>
      <c r="D29" s="7" t="s">
        <v>22</v>
      </c>
      <c r="E29" s="8">
        <f>0</f>
      </c>
      <c r="F29" s="8">
        <f>1</f>
      </c>
    </row>
    <row x14ac:dyDescent="0.25" r="30" customHeight="1" ht="17.25">
      <c r="A30" s="1"/>
      <c r="B30" s="7" t="s">
        <v>973</v>
      </c>
      <c r="C30" s="7" t="s">
        <v>973</v>
      </c>
      <c r="D30" s="7" t="s">
        <v>22</v>
      </c>
      <c r="E30" s="8">
        <f>SQRT(0^2 + 0^2 + 0^2 + 0^2)</f>
      </c>
      <c r="F30" s="8">
        <f>SQRT(1^2 + 1^2 + 1^2 + 1^2)</f>
      </c>
    </row>
    <row x14ac:dyDescent="0.25" r="31" customHeight="1" ht="17.25">
      <c r="A31" s="1"/>
      <c r="B31" s="7" t="s">
        <v>22</v>
      </c>
      <c r="C31" s="7" t="s">
        <v>22</v>
      </c>
      <c r="D31" s="7" t="s">
        <v>974</v>
      </c>
      <c r="E31" s="8">
        <f>SQRT(0^2 + 0^2 + 0^2 + 0^2)</f>
      </c>
      <c r="F31" s="8">
        <f>1</f>
      </c>
    </row>
    <row x14ac:dyDescent="0.25" r="32" customHeight="1" ht="17.25">
      <c r="A32" s="1"/>
      <c r="B32" s="7" t="s">
        <v>975</v>
      </c>
      <c r="C32" s="7" t="s">
        <v>975</v>
      </c>
      <c r="D32" s="7" t="s">
        <v>975</v>
      </c>
      <c r="E32" s="8">
        <f>SQRT(0^2 + 0^2 + 0^2 + 0^2)</f>
      </c>
      <c r="F32" s="10">
        <f>SQRT(1^2 + 1^2 + 0^2 + 0^2)</f>
      </c>
    </row>
    <row x14ac:dyDescent="0.25" r="33" customHeight="1" ht="17.25">
      <c r="A33" s="1"/>
      <c r="B33" s="7" t="s">
        <v>976</v>
      </c>
      <c r="C33" s="7" t="s">
        <v>976</v>
      </c>
      <c r="D33" s="7" t="s">
        <v>976</v>
      </c>
      <c r="E33" s="8">
        <f>SQRT(0^2 + 0^2 + 0^2 + 0^2)</f>
      </c>
      <c r="F33" s="10">
        <f>SQRT(1^2 + 1^2 + 0^2 + 0^2)</f>
      </c>
    </row>
    <row x14ac:dyDescent="0.25" r="34" customHeight="1" ht="17.25">
      <c r="A34" s="1"/>
      <c r="B34" s="7" t="s">
        <v>977</v>
      </c>
      <c r="C34" s="7" t="s">
        <v>977</v>
      </c>
      <c r="D34" s="7" t="s">
        <v>977</v>
      </c>
      <c r="E34" s="8">
        <f>SQRT(0^2 + 0^2 + 0^2 + 0^2)</f>
      </c>
      <c r="F34" s="8">
        <f>SQRT(0^2 + 0^2 + 0^2 + 0^2)</f>
      </c>
    </row>
    <row x14ac:dyDescent="0.25" r="35" customHeight="1" ht="17.25">
      <c r="A35" s="1"/>
      <c r="B35" s="7" t="s">
        <v>978</v>
      </c>
      <c r="C35" s="7" t="s">
        <v>978</v>
      </c>
      <c r="D35" s="7" t="s">
        <v>978</v>
      </c>
      <c r="E35" s="8">
        <f>SQRT(0^2 + 0^2 + 0^2 + 0^2)</f>
      </c>
      <c r="F35" s="8">
        <f>SQRT(0^2 + 0^2 + 0^2 + 0^2)</f>
      </c>
    </row>
    <row x14ac:dyDescent="0.25" r="36" customHeight="1" ht="17.25">
      <c r="A36" s="1"/>
      <c r="B36" s="7" t="s">
        <v>979</v>
      </c>
      <c r="C36" s="7" t="s">
        <v>980</v>
      </c>
      <c r="D36" s="7" t="s">
        <v>980</v>
      </c>
      <c r="E36" s="8">
        <f>SQRT(0^2 + 0^2 + 0^2 + 0^2)</f>
      </c>
      <c r="F36" s="8">
        <f>SQRT(0^2 + 0^2 + 0^2 + 0^2)</f>
      </c>
    </row>
    <row x14ac:dyDescent="0.25" r="37" customHeight="1" ht="17.25">
      <c r="A37" s="1"/>
      <c r="B37" s="7" t="s">
        <v>981</v>
      </c>
      <c r="C37" s="7" t="s">
        <v>981</v>
      </c>
      <c r="D37" s="7" t="s">
        <v>22</v>
      </c>
      <c r="E37" s="8">
        <f>SQRT(0^2 + 0^2 + 0^2 + 0^2)</f>
      </c>
      <c r="F37" s="8">
        <f>SQRT(1^2 + 1^2 + 1^2 + 1^2)</f>
      </c>
    </row>
    <row x14ac:dyDescent="0.25" r="38" customHeight="1" ht="17.25">
      <c r="A38" s="1"/>
      <c r="B38" s="7" t="s">
        <v>982</v>
      </c>
      <c r="C38" s="7" t="s">
        <v>983</v>
      </c>
      <c r="D38" s="7" t="s">
        <v>22</v>
      </c>
      <c r="E38" s="8">
        <f>SQRT(0^2 + 0^2 + 0^2 + 0^2)</f>
      </c>
      <c r="F38" s="8">
        <f>SQRT(1^2 + 1^2 + 1^2 + 1^2)</f>
      </c>
    </row>
    <row x14ac:dyDescent="0.25" r="39" customHeight="1" ht="17.25">
      <c r="A39" s="1"/>
      <c r="B39" s="7" t="s">
        <v>22</v>
      </c>
      <c r="C39" s="7" t="s">
        <v>22</v>
      </c>
      <c r="D39" s="7" t="s">
        <v>984</v>
      </c>
      <c r="E39" s="8">
        <f>SQRT(0^2 + 0^2 + 0^2 + 0^2)</f>
      </c>
      <c r="F39" s="8">
        <f>SQRT(1^2 + 1^2 + 1^2 + 1^2)</f>
      </c>
    </row>
    <row x14ac:dyDescent="0.25" r="40" customHeight="1" ht="17.25">
      <c r="A40" s="1"/>
      <c r="B40" s="1"/>
      <c r="C40" s="1"/>
      <c r="D40" s="19"/>
      <c r="E40" s="3"/>
      <c r="F40" s="3"/>
    </row>
    <row x14ac:dyDescent="0.25" r="41" customHeight="1" ht="17.25">
      <c r="A41" s="1"/>
      <c r="B41" s="1"/>
      <c r="C41" s="1"/>
      <c r="D41" s="19"/>
      <c r="E41" s="3"/>
      <c r="F41" s="3"/>
    </row>
    <row x14ac:dyDescent="0.25" r="42" customHeight="1" ht="17.25">
      <c r="A42" s="1"/>
      <c r="B42" s="1"/>
      <c r="C42" s="1"/>
      <c r="D42" s="7" t="s">
        <v>82</v>
      </c>
      <c r="E42" s="10">
        <f>SQRT(SUMSQ(E3:E39))</f>
      </c>
      <c r="F42" s="10">
        <f>SQRT(SUMSQ(F3:F39))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5.14785714285714" customWidth="1" bestFit="1"/>
    <col min="3" max="3" style="11" width="25.862142857142857" customWidth="1" bestFit="1"/>
    <col min="4" max="4" style="20" width="25.147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897</v>
      </c>
      <c r="C3" s="7" t="s">
        <v>898</v>
      </c>
      <c r="D3" s="7" t="s">
        <v>897</v>
      </c>
      <c r="E3" s="10">
        <f>0.5</f>
      </c>
      <c r="F3" s="8">
        <f>0</f>
      </c>
    </row>
    <row x14ac:dyDescent="0.25" r="4" customHeight="1" ht="17.25">
      <c r="A4" s="1"/>
      <c r="B4" s="7" t="s">
        <v>899</v>
      </c>
      <c r="C4" s="7" t="s">
        <v>900</v>
      </c>
      <c r="D4" s="7" t="s">
        <v>901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902</v>
      </c>
      <c r="C5" s="7" t="s">
        <v>903</v>
      </c>
      <c r="D5" s="7" t="s">
        <v>904</v>
      </c>
      <c r="E5" s="8">
        <f>SQRT(0^2 + 0^2 + 0^2 + 0^2)</f>
      </c>
      <c r="F5" s="8">
        <f>SQRT(0^2 + 0^2 + 1^2 + 0^2)</f>
      </c>
    </row>
    <row x14ac:dyDescent="0.25" r="6" customHeight="1" ht="17.25">
      <c r="A6" s="1"/>
      <c r="B6" s="7" t="s">
        <v>905</v>
      </c>
      <c r="C6" s="7" t="s">
        <v>906</v>
      </c>
      <c r="D6" s="7" t="s">
        <v>907</v>
      </c>
      <c r="E6" s="8">
        <f>SQRT(0^2 + 0^2 + 0^2 + 0^2)</f>
      </c>
      <c r="F6" s="8">
        <f>SQRT(0^2 + 0^2 + 1^2 + 0^2)</f>
      </c>
    </row>
    <row x14ac:dyDescent="0.25" r="7" customHeight="1" ht="17.25">
      <c r="A7" s="1"/>
      <c r="B7" s="7" t="s">
        <v>908</v>
      </c>
      <c r="C7" s="7" t="s">
        <v>908</v>
      </c>
      <c r="D7" s="7" t="s">
        <v>908</v>
      </c>
      <c r="E7" s="8">
        <f>0</f>
      </c>
      <c r="F7" s="8">
        <f>0</f>
      </c>
    </row>
    <row x14ac:dyDescent="0.25" r="8" customHeight="1" ht="17.25">
      <c r="A8" s="1"/>
      <c r="B8" s="7" t="s">
        <v>909</v>
      </c>
      <c r="C8" s="7" t="s">
        <v>909</v>
      </c>
      <c r="D8" s="7" t="s">
        <v>909</v>
      </c>
      <c r="E8" s="8">
        <f>SQRT(0^2 + 0^2 + 0^2 + 0^2)</f>
      </c>
      <c r="F8" s="8">
        <f>SQRT(0^2 + 0^2 + 0^2 + 0^2)</f>
      </c>
    </row>
    <row x14ac:dyDescent="0.25" r="9" customHeight="1" ht="17.25">
      <c r="A9" s="1"/>
      <c r="B9" s="7" t="s">
        <v>910</v>
      </c>
      <c r="C9" s="7" t="s">
        <v>911</v>
      </c>
      <c r="D9" s="7" t="s">
        <v>912</v>
      </c>
      <c r="E9" s="8">
        <f>SQRT(0^2 + 0^2 + 0^2 + 0^2)</f>
      </c>
      <c r="F9" s="8">
        <f>SQRT(0^2 + 0^2 + 0^2 + 0^2)</f>
      </c>
    </row>
    <row x14ac:dyDescent="0.25" r="10" customHeight="1" ht="17.25">
      <c r="A10" s="1"/>
      <c r="B10" s="7" t="s">
        <v>22</v>
      </c>
      <c r="C10" s="7" t="s">
        <v>22</v>
      </c>
      <c r="D10" s="7" t="s">
        <v>913</v>
      </c>
      <c r="E10" s="8">
        <f>SQRT(0^2 + 0^2 + 0^2 + 0^2)</f>
      </c>
      <c r="F10" s="8">
        <f>SQRT(1^2 + 1^2 + 1^2 + 1^2)</f>
      </c>
    </row>
    <row x14ac:dyDescent="0.25" r="11" customHeight="1" ht="17.25">
      <c r="A11" s="1"/>
      <c r="B11" s="7" t="s">
        <v>914</v>
      </c>
      <c r="C11" s="7" t="s">
        <v>914</v>
      </c>
      <c r="D11" s="7" t="s">
        <v>914</v>
      </c>
      <c r="E11" s="8">
        <f>0</f>
      </c>
      <c r="F11" s="8">
        <f>0</f>
      </c>
    </row>
    <row x14ac:dyDescent="0.25" r="12" customHeight="1" ht="17.25">
      <c r="A12" s="1"/>
      <c r="B12" s="7" t="s">
        <v>915</v>
      </c>
      <c r="C12" s="7" t="s">
        <v>915</v>
      </c>
      <c r="D12" s="7" t="s">
        <v>915</v>
      </c>
      <c r="E12" s="8">
        <f>SQRT(0^2 + 0^2 + 0^2 + 0^2)</f>
      </c>
      <c r="F12" s="8">
        <f>SQRT(0^2 + 0^2 + 0^2 + 0^2)</f>
      </c>
    </row>
    <row x14ac:dyDescent="0.25" r="13" customHeight="1" ht="17.25">
      <c r="A13" s="1"/>
      <c r="B13" s="7" t="s">
        <v>916</v>
      </c>
      <c r="C13" s="7" t="s">
        <v>916</v>
      </c>
      <c r="D13" s="7" t="s">
        <v>916</v>
      </c>
      <c r="E13" s="8">
        <f>SQRT(0^2 + 0^2 + 0^2 + 0^2)</f>
      </c>
      <c r="F13" s="8">
        <f>SQRT(0^2 + 0^2 + 0^2 + 0^2)</f>
      </c>
    </row>
    <row x14ac:dyDescent="0.25" r="14" customHeight="1" ht="17.25">
      <c r="A14" s="1"/>
      <c r="B14" s="7" t="s">
        <v>917</v>
      </c>
      <c r="C14" s="7" t="s">
        <v>918</v>
      </c>
      <c r="D14" s="7" t="s">
        <v>917</v>
      </c>
      <c r="E14" s="10">
        <f>0.5</f>
      </c>
      <c r="F14" s="8">
        <f>0</f>
      </c>
    </row>
    <row x14ac:dyDescent="0.25" r="15" customHeight="1" ht="17.25">
      <c r="A15" s="1"/>
      <c r="B15" s="7" t="s">
        <v>919</v>
      </c>
      <c r="C15" s="7" t="s">
        <v>920</v>
      </c>
      <c r="D15" s="7" t="s">
        <v>22</v>
      </c>
      <c r="E15" s="8">
        <f>SQRT(0^2 + 0^2 + 0^2 + 0^2)</f>
      </c>
      <c r="F15" s="8">
        <f>SQRT(1^2 + 1^2 + 1^2 + 1^2)</f>
      </c>
    </row>
    <row x14ac:dyDescent="0.25" r="16" customHeight="1" ht="17.25">
      <c r="A16" s="1"/>
      <c r="B16" s="7" t="s">
        <v>921</v>
      </c>
      <c r="C16" s="7" t="s">
        <v>922</v>
      </c>
      <c r="D16" s="7" t="s">
        <v>921</v>
      </c>
      <c r="E16" s="10">
        <f>0.5</f>
      </c>
      <c r="F16" s="8">
        <f>0</f>
      </c>
    </row>
    <row x14ac:dyDescent="0.25" r="17" customHeight="1" ht="17.25">
      <c r="A17" s="1"/>
      <c r="B17" s="7" t="s">
        <v>923</v>
      </c>
      <c r="C17" s="7" t="s">
        <v>923</v>
      </c>
      <c r="D17" s="7" t="s">
        <v>924</v>
      </c>
      <c r="E17" s="8">
        <f>SQRT(0^2 + 0^2 + 0^2 + 0^2)</f>
      </c>
      <c r="F17" s="10">
        <f>SQRT(0^2 + 0^2 + 1^2 + 1^2)</f>
      </c>
    </row>
    <row x14ac:dyDescent="0.25" r="18" customHeight="1" ht="17.25">
      <c r="A18" s="1"/>
      <c r="B18" s="7" t="s">
        <v>925</v>
      </c>
      <c r="C18" s="7" t="s">
        <v>925</v>
      </c>
      <c r="D18" s="7" t="s">
        <v>925</v>
      </c>
      <c r="E18" s="8">
        <f>0</f>
      </c>
      <c r="F18" s="8">
        <f>0</f>
      </c>
    </row>
    <row x14ac:dyDescent="0.25" r="19" customHeight="1" ht="17.25">
      <c r="A19" s="1"/>
      <c r="B19" s="7" t="s">
        <v>926</v>
      </c>
      <c r="C19" s="7" t="s">
        <v>926</v>
      </c>
      <c r="D19" s="7" t="s">
        <v>927</v>
      </c>
      <c r="E19" s="8">
        <f>SQRT(0^2 + 0^2 + 0^2 + 0^2)</f>
      </c>
      <c r="F19" s="8">
        <f>SQRT(0^2 + 0^2 + 1^2 + 0^2)</f>
      </c>
    </row>
    <row x14ac:dyDescent="0.25" r="20" customHeight="1" ht="17.25">
      <c r="A20" s="1"/>
      <c r="B20" s="7" t="s">
        <v>928</v>
      </c>
      <c r="C20" s="7" t="s">
        <v>928</v>
      </c>
      <c r="D20" s="7" t="s">
        <v>928</v>
      </c>
      <c r="E20" s="8">
        <f>SQRT(0^2 + 0^2 + 0^2 + 0^2)</f>
      </c>
      <c r="F20" s="8">
        <f>SQRT(0^2 + 0^2 + 0^2 + 0^2)</f>
      </c>
    </row>
    <row x14ac:dyDescent="0.25" r="21" customHeight="1" ht="17.25">
      <c r="A21" s="1"/>
      <c r="B21" s="7" t="s">
        <v>929</v>
      </c>
      <c r="C21" s="7" t="s">
        <v>929</v>
      </c>
      <c r="D21" s="7" t="s">
        <v>929</v>
      </c>
      <c r="E21" s="8">
        <f>SQRT(0^2 + 0^2 + 0^2 + 0^2)</f>
      </c>
      <c r="F21" s="8">
        <f>SQRT(0^2 + 0^2 + 0^2 + 0^2)</f>
      </c>
    </row>
    <row x14ac:dyDescent="0.25" r="22" customHeight="1" ht="17.25">
      <c r="A22" s="1"/>
      <c r="B22" s="7" t="s">
        <v>930</v>
      </c>
      <c r="C22" s="7" t="s">
        <v>931</v>
      </c>
      <c r="D22" s="7" t="s">
        <v>930</v>
      </c>
      <c r="E22" s="8">
        <f>SQRT(0^2 + 0^2 + 0^2 + 0^2)</f>
      </c>
      <c r="F22" s="8">
        <f>SQRT(0^2 + 0^2 + 0^2 + 0^2)</f>
      </c>
    </row>
    <row x14ac:dyDescent="0.25" r="23" customHeight="1" ht="17.25">
      <c r="A23" s="1"/>
      <c r="B23" s="7" t="s">
        <v>932</v>
      </c>
      <c r="C23" s="7" t="s">
        <v>932</v>
      </c>
      <c r="D23" s="7" t="s">
        <v>932</v>
      </c>
      <c r="E23" s="8">
        <f>SQRT(0^2 + 0^2 + 0^2 + 0^2)</f>
      </c>
      <c r="F23" s="8">
        <f>SQRT(0^2 + 0^2 + 0^2 + 0^2)</f>
      </c>
    </row>
    <row x14ac:dyDescent="0.25" r="24" customHeight="1" ht="17.25">
      <c r="A24" s="1"/>
      <c r="B24" s="7" t="s">
        <v>933</v>
      </c>
      <c r="C24" s="7" t="s">
        <v>934</v>
      </c>
      <c r="D24" s="7" t="s">
        <v>933</v>
      </c>
      <c r="E24" s="8">
        <f>SQRT(0^2 + 0^2 + 0^2 + 0^2)</f>
      </c>
      <c r="F24" s="8">
        <f>SQRT(0^2 + 0^2 + 0^2 + 0^2)</f>
      </c>
    </row>
    <row x14ac:dyDescent="0.25" r="25" customHeight="1" ht="17.25">
      <c r="A25" s="1"/>
      <c r="B25" s="7" t="s">
        <v>935</v>
      </c>
      <c r="C25" s="7" t="s">
        <v>936</v>
      </c>
      <c r="D25" s="7" t="s">
        <v>935</v>
      </c>
      <c r="E25" s="8">
        <f>SQRT(0^2 + 0^2 + 0^2 + 0^2)</f>
      </c>
      <c r="F25" s="8">
        <f>SQRT(0^2 + 0^2 + 0^2 + 0^2)</f>
      </c>
    </row>
    <row x14ac:dyDescent="0.25" r="26" customHeight="1" ht="17.25">
      <c r="A26" s="1"/>
      <c r="B26" s="7" t="s">
        <v>937</v>
      </c>
      <c r="C26" s="7" t="s">
        <v>938</v>
      </c>
      <c r="D26" s="7" t="s">
        <v>938</v>
      </c>
      <c r="E26" s="8">
        <f>SQRT(0^2 + 0^2 + 0^2 + 0^2)</f>
      </c>
      <c r="F26" s="8">
        <f>SQRT(0^2 + 0^2 + 0^2 + 1^2)</f>
      </c>
    </row>
    <row x14ac:dyDescent="0.25" r="27" customHeight="1" ht="17.25">
      <c r="A27" s="1"/>
      <c r="B27" s="7" t="s">
        <v>22</v>
      </c>
      <c r="C27" s="7" t="s">
        <v>22</v>
      </c>
      <c r="D27" s="7" t="s">
        <v>939</v>
      </c>
      <c r="E27" s="8">
        <f>SQRT(0^2 + 0^2 + 0^2 + 0^2)</f>
      </c>
      <c r="F27" s="8">
        <f>SQRT(1^2 + 1^2 + 1^2 + 1^2)</f>
      </c>
    </row>
    <row x14ac:dyDescent="0.25" r="28" customHeight="1" ht="17.25">
      <c r="A28" s="1"/>
      <c r="B28" s="7" t="s">
        <v>22</v>
      </c>
      <c r="C28" s="7" t="s">
        <v>22</v>
      </c>
      <c r="D28" s="7" t="s">
        <v>940</v>
      </c>
      <c r="E28" s="8">
        <f>SQRT(0^2 + 0^2 + 0^2 + 0^2)</f>
      </c>
      <c r="F28" s="8">
        <f>SQRT(1^2 + 1^2 + 1^2 + 1^2)</f>
      </c>
    </row>
    <row x14ac:dyDescent="0.25" r="29" customHeight="1" ht="17.25">
      <c r="A29" s="1"/>
      <c r="B29" s="1"/>
      <c r="C29" s="1"/>
      <c r="D29" s="19"/>
      <c r="E29" s="3"/>
      <c r="F29" s="3"/>
    </row>
    <row x14ac:dyDescent="0.25" r="30" customHeight="1" ht="17.25">
      <c r="A30" s="1"/>
      <c r="B30" s="1"/>
      <c r="C30" s="1"/>
      <c r="D30" s="19"/>
      <c r="E30" s="3"/>
      <c r="F30" s="3"/>
    </row>
    <row x14ac:dyDescent="0.25" r="31" customHeight="1" ht="17.25">
      <c r="A31" s="1"/>
      <c r="B31" s="1"/>
      <c r="C31" s="1"/>
      <c r="D31" s="7" t="s">
        <v>82</v>
      </c>
      <c r="E31" s="10">
        <f>SQRT(SUMSQ(E3:E28))</f>
      </c>
      <c r="F31" s="10">
        <f>SQRT(SUMSQ(F3:F28))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0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4.719285714285714" customWidth="1" bestFit="1"/>
    <col min="3" max="3" style="11" width="28.862142857142857" customWidth="1" bestFit="1"/>
    <col min="4" max="4" style="20" width="30.862142857142857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829</v>
      </c>
      <c r="C3" s="7" t="s">
        <v>829</v>
      </c>
      <c r="D3" s="7" t="s">
        <v>829</v>
      </c>
      <c r="E3" s="8">
        <f>0</f>
      </c>
      <c r="F3" s="8">
        <f>0</f>
      </c>
    </row>
    <row x14ac:dyDescent="0.25" r="4" customHeight="1" ht="17.25">
      <c r="A4" s="1"/>
      <c r="B4" s="7" t="s">
        <v>830</v>
      </c>
      <c r="C4" s="7" t="s">
        <v>830</v>
      </c>
      <c r="D4" s="7" t="s">
        <v>831</v>
      </c>
      <c r="E4" s="8">
        <f>SQRT(0^2 + 0^2 + 0^2 + 0^2)</f>
      </c>
      <c r="F4" s="8">
        <f>SQRT(0^2 + 0^2 + 0^2 + 1^2)</f>
      </c>
    </row>
    <row x14ac:dyDescent="0.25" r="5" customHeight="1" ht="17.25">
      <c r="A5" s="1"/>
      <c r="B5" s="7" t="s">
        <v>22</v>
      </c>
      <c r="C5" s="1" t="s">
        <v>83</v>
      </c>
      <c r="D5" s="7" t="s">
        <v>83</v>
      </c>
      <c r="E5" s="8">
        <f>1</f>
      </c>
      <c r="F5" s="8">
        <f>1</f>
      </c>
    </row>
    <row x14ac:dyDescent="0.25" r="6" customHeight="1" ht="17.25">
      <c r="A6" s="1"/>
      <c r="B6" s="7" t="s">
        <v>832</v>
      </c>
      <c r="C6" s="7" t="s">
        <v>833</v>
      </c>
      <c r="D6" s="7" t="s">
        <v>834</v>
      </c>
      <c r="E6" s="8">
        <f>SQRT(0^2 + 0^2 + 0^2 + 0^2 + 0^2 + 0^2)</f>
      </c>
      <c r="F6" s="8">
        <f>SQRT(0^2 + 0^2 + 0^2 + 0^2 + 0^2 + 0^2)</f>
      </c>
    </row>
    <row x14ac:dyDescent="0.25" r="7" customHeight="1" ht="17.25">
      <c r="A7" s="1"/>
      <c r="B7" s="7" t="s">
        <v>835</v>
      </c>
      <c r="C7" s="7" t="s">
        <v>836</v>
      </c>
      <c r="D7" s="7" t="s">
        <v>837</v>
      </c>
      <c r="E7" s="8">
        <f>SQRT(0^2 + 0^2 + 0^2 + 0^2 + 0^2 + 0^2)</f>
      </c>
      <c r="F7" s="8">
        <f>SQRT(0^2 + 0^2 + 0^2 + 0^2 + 0^2 + 0^2)</f>
      </c>
    </row>
    <row x14ac:dyDescent="0.25" r="8" customHeight="1" ht="17.25">
      <c r="A8" s="1"/>
      <c r="B8" s="7" t="s">
        <v>838</v>
      </c>
      <c r="C8" s="7" t="s">
        <v>839</v>
      </c>
      <c r="D8" s="7" t="s">
        <v>840</v>
      </c>
      <c r="E8" s="8">
        <f>SQRT(0^2 + 0^2 + 0^2 + 0^2 + 0^2 + 0^2)</f>
      </c>
      <c r="F8" s="8">
        <f>SQRT(0^2 + 0^2 + 0^2 + 0^2 + 0^2 + 0^2)</f>
      </c>
    </row>
    <row x14ac:dyDescent="0.25" r="9" customHeight="1" ht="17.25">
      <c r="A9" s="1"/>
      <c r="B9" s="7" t="s">
        <v>841</v>
      </c>
      <c r="C9" s="7" t="s">
        <v>842</v>
      </c>
      <c r="D9" s="7" t="s">
        <v>22</v>
      </c>
      <c r="E9" s="8">
        <f>SQRT(0^2 + 0^2 + 0^2 + 0^2 + 0^2 + 0^2)</f>
      </c>
      <c r="F9" s="10">
        <f>SQRT(1^2 + 1^2 + 1^2 + 1^2 + 0.5^2 + 1^2)</f>
      </c>
    </row>
    <row x14ac:dyDescent="0.25" r="10" customHeight="1" ht="17.25">
      <c r="A10" s="1"/>
      <c r="B10" s="7" t="s">
        <v>843</v>
      </c>
      <c r="C10" s="7" t="s">
        <v>843</v>
      </c>
      <c r="D10" s="7" t="s">
        <v>843</v>
      </c>
      <c r="E10" s="8">
        <f>0</f>
      </c>
      <c r="F10" s="8">
        <f>0</f>
      </c>
    </row>
    <row x14ac:dyDescent="0.25" r="11" customHeight="1" ht="17.25">
      <c r="A11" s="1"/>
      <c r="B11" s="7" t="s">
        <v>844</v>
      </c>
      <c r="C11" s="7" t="s">
        <v>22</v>
      </c>
      <c r="D11" s="7" t="s">
        <v>22</v>
      </c>
      <c r="E11" s="8">
        <f>SQRT(1^2 + 1^2 + 1^2 + 1^2)</f>
      </c>
      <c r="F11" s="8">
        <f>SQRT(1^2 + 1^2 + 1^2 + 1^2)</f>
      </c>
    </row>
    <row x14ac:dyDescent="0.25" r="12" customHeight="1" ht="17.25">
      <c r="A12" s="1"/>
      <c r="B12" s="7" t="s">
        <v>845</v>
      </c>
      <c r="C12" s="7" t="s">
        <v>22</v>
      </c>
      <c r="D12" s="7" t="s">
        <v>22</v>
      </c>
      <c r="E12" s="8">
        <f>0</f>
      </c>
      <c r="F12" s="8">
        <f>0</f>
      </c>
    </row>
    <row x14ac:dyDescent="0.25" r="13" customHeight="1" ht="17.25">
      <c r="A13" s="1"/>
      <c r="B13" s="7" t="s">
        <v>846</v>
      </c>
      <c r="C13" s="7" t="s">
        <v>847</v>
      </c>
      <c r="D13" s="7" t="s">
        <v>847</v>
      </c>
      <c r="E13" s="8">
        <f>SQRT(0^2 + 0^2 + 0^2 + 0^2)</f>
      </c>
      <c r="F13" s="8">
        <f>SQRT(0^2 + 0^2 + 0^2 + 0^2)</f>
      </c>
    </row>
    <row x14ac:dyDescent="0.25" r="14" customHeight="1" ht="17.25">
      <c r="A14" s="1"/>
      <c r="B14" s="7" t="s">
        <v>848</v>
      </c>
      <c r="C14" s="7" t="s">
        <v>849</v>
      </c>
      <c r="D14" s="7" t="s">
        <v>849</v>
      </c>
      <c r="E14" s="8">
        <f>SQRT(0^2 + 0^2 + 0^2 + 0^2)</f>
      </c>
      <c r="F14" s="8">
        <f>SQRT(0^2 + 0^2 + 0^2 + 0^2)</f>
      </c>
    </row>
    <row x14ac:dyDescent="0.25" r="15" customHeight="1" ht="17.25">
      <c r="A15" s="1"/>
      <c r="B15" s="7" t="s">
        <v>850</v>
      </c>
      <c r="C15" s="7" t="s">
        <v>851</v>
      </c>
      <c r="D15" s="7" t="s">
        <v>851</v>
      </c>
      <c r="E15" s="8">
        <f>SQRT(0^2 + 0^2 + 0^2 + 0^2)</f>
      </c>
      <c r="F15" s="8">
        <f>SQRT(0^2 + 0^2 + 0^2 + 0^2)</f>
      </c>
    </row>
    <row x14ac:dyDescent="0.25" r="16" customHeight="1" ht="17.25">
      <c r="A16" s="1"/>
      <c r="B16" s="7" t="s">
        <v>22</v>
      </c>
      <c r="C16" s="7" t="s">
        <v>852</v>
      </c>
      <c r="D16" s="7" t="s">
        <v>852</v>
      </c>
      <c r="E16" s="8">
        <f>1</f>
      </c>
      <c r="F16" s="8">
        <f>1</f>
      </c>
    </row>
    <row x14ac:dyDescent="0.25" r="17" customHeight="1" ht="17.25">
      <c r="A17" s="1"/>
      <c r="B17" s="7" t="s">
        <v>22</v>
      </c>
      <c r="C17" s="7" t="s">
        <v>853</v>
      </c>
      <c r="D17" s="7" t="s">
        <v>853</v>
      </c>
      <c r="E17" s="8">
        <f>1</f>
      </c>
      <c r="F17" s="8">
        <f>1</f>
      </c>
    </row>
    <row x14ac:dyDescent="0.25" r="18" customHeight="1" ht="17.25">
      <c r="A18" s="1"/>
      <c r="B18" s="7" t="s">
        <v>854</v>
      </c>
      <c r="C18" s="7" t="s">
        <v>22</v>
      </c>
      <c r="D18" s="7" t="s">
        <v>22</v>
      </c>
      <c r="E18" s="8">
        <f>1</f>
      </c>
      <c r="F18" s="8">
        <f>1</f>
      </c>
    </row>
    <row x14ac:dyDescent="0.25" r="19" customHeight="1" ht="17.25">
      <c r="A19" s="1"/>
      <c r="B19" s="7" t="s">
        <v>855</v>
      </c>
      <c r="C19" s="7" t="s">
        <v>22</v>
      </c>
      <c r="D19" s="7" t="s">
        <v>22</v>
      </c>
      <c r="E19" s="8">
        <f>SQRT(1^2 + 1^2 + 1^2 + 1^2)</f>
      </c>
      <c r="F19" s="8">
        <f>SQRT(1^2 + 1^2 + 1^2 + 1^2)</f>
      </c>
    </row>
    <row x14ac:dyDescent="0.25" r="20" customHeight="1" ht="17.25">
      <c r="A20" s="1"/>
      <c r="B20" s="7" t="s">
        <v>856</v>
      </c>
      <c r="C20" s="7" t="s">
        <v>22</v>
      </c>
      <c r="D20" s="7" t="s">
        <v>22</v>
      </c>
      <c r="E20" s="8">
        <f>SQRT(1^2 + 1^2 + 1^2 + 1^2)</f>
      </c>
      <c r="F20" s="8">
        <f>SQRT(1^2 + 1^2 + 1^2 + 1^2)</f>
      </c>
    </row>
    <row x14ac:dyDescent="0.25" r="21" customHeight="1" ht="17.25">
      <c r="A21" s="1"/>
      <c r="B21" s="7" t="s">
        <v>515</v>
      </c>
      <c r="C21" s="7" t="s">
        <v>515</v>
      </c>
      <c r="D21" s="7" t="s">
        <v>515</v>
      </c>
      <c r="E21" s="8">
        <f>0</f>
      </c>
      <c r="F21" s="8">
        <f>0</f>
      </c>
    </row>
    <row x14ac:dyDescent="0.25" r="22" customHeight="1" ht="17.25">
      <c r="A22" s="1"/>
      <c r="B22" s="7" t="s">
        <v>857</v>
      </c>
      <c r="C22" s="7" t="s">
        <v>857</v>
      </c>
      <c r="D22" s="7" t="s">
        <v>857</v>
      </c>
      <c r="E22" s="8">
        <f>SQRT(0^2 + 0^2 + 0^2 + 0^2)</f>
      </c>
      <c r="F22" s="8">
        <f>SQRT(0^2 + 0^2 + 0^2 + 0^2)</f>
      </c>
    </row>
    <row x14ac:dyDescent="0.25" r="23" customHeight="1" ht="17.25">
      <c r="A23" s="1"/>
      <c r="B23" s="7" t="s">
        <v>858</v>
      </c>
      <c r="C23" s="7" t="s">
        <v>858</v>
      </c>
      <c r="D23" s="7" t="s">
        <v>22</v>
      </c>
      <c r="E23" s="8">
        <f>SQRT(0^2 + 0^2 + 0^2 + 0^2)</f>
      </c>
      <c r="F23" s="8">
        <f>SQRT(1^2 + 1^2 + 1^2 + 1^2)</f>
      </c>
    </row>
    <row x14ac:dyDescent="0.25" r="24" customHeight="1" ht="17.25">
      <c r="A24" s="1"/>
      <c r="B24" s="7" t="s">
        <v>859</v>
      </c>
      <c r="C24" s="7" t="s">
        <v>859</v>
      </c>
      <c r="D24" s="7" t="s">
        <v>859</v>
      </c>
      <c r="E24" s="8">
        <f>0</f>
      </c>
      <c r="F24" s="8">
        <f>0</f>
      </c>
    </row>
    <row x14ac:dyDescent="0.25" r="25" customHeight="1" ht="17.25">
      <c r="A25" s="1"/>
      <c r="B25" s="7" t="s">
        <v>860</v>
      </c>
      <c r="C25" s="7" t="s">
        <v>860</v>
      </c>
      <c r="D25" s="7" t="s">
        <v>22</v>
      </c>
      <c r="E25" s="8">
        <f>SQRT(0^2 + 0^2 + 0^2 + 0^2)</f>
      </c>
      <c r="F25" s="8">
        <f>SQRT(1^2 + 1^2 + 1^2 + 1^2)</f>
      </c>
    </row>
    <row x14ac:dyDescent="0.25" r="26" customHeight="1" ht="17.25">
      <c r="A26" s="1"/>
      <c r="B26" s="7" t="s">
        <v>861</v>
      </c>
      <c r="C26" s="7" t="s">
        <v>861</v>
      </c>
      <c r="D26" s="7" t="s">
        <v>22</v>
      </c>
      <c r="E26" s="8">
        <f>SQRT(0^2 + 0^2 + 0^2 + 0^2)</f>
      </c>
      <c r="F26" s="8">
        <f>SQRT(1^2 + 1^2 + 1^2 + 1^2)</f>
      </c>
    </row>
    <row x14ac:dyDescent="0.25" r="27" customHeight="1" ht="17.25">
      <c r="A27" s="1"/>
      <c r="B27" s="7" t="s">
        <v>862</v>
      </c>
      <c r="C27" s="7" t="s">
        <v>862</v>
      </c>
      <c r="D27" s="7" t="s">
        <v>862</v>
      </c>
      <c r="E27" s="8">
        <f>0</f>
      </c>
      <c r="F27" s="8">
        <f>0</f>
      </c>
    </row>
    <row x14ac:dyDescent="0.25" r="28" customHeight="1" ht="17.25">
      <c r="A28" s="1"/>
      <c r="B28" s="7" t="s">
        <v>863</v>
      </c>
      <c r="C28" s="7" t="s">
        <v>22</v>
      </c>
      <c r="D28" s="7" t="s">
        <v>22</v>
      </c>
      <c r="E28" s="8">
        <f>SQRT(1^2 + 1^2 + 1^2 + 1^2)</f>
      </c>
      <c r="F28" s="8">
        <f>SQRT(1^2 + 1^2 + 1^2 + 1^2)</f>
      </c>
    </row>
    <row x14ac:dyDescent="0.25" r="29" customHeight="1" ht="17.25">
      <c r="A29" s="1"/>
      <c r="B29" s="7" t="s">
        <v>22</v>
      </c>
      <c r="C29" s="7" t="s">
        <v>864</v>
      </c>
      <c r="D29" s="7" t="s">
        <v>864</v>
      </c>
      <c r="E29" s="8">
        <f>1</f>
      </c>
      <c r="F29" s="8">
        <f>1</f>
      </c>
    </row>
    <row x14ac:dyDescent="0.25" r="30" customHeight="1" ht="17.25">
      <c r="A30" s="1"/>
      <c r="B30" s="7" t="s">
        <v>22</v>
      </c>
      <c r="C30" s="7" t="s">
        <v>865</v>
      </c>
      <c r="D30" s="7" t="s">
        <v>865</v>
      </c>
      <c r="E30" s="8">
        <f>1</f>
      </c>
      <c r="F30" s="8">
        <f>1</f>
      </c>
    </row>
    <row x14ac:dyDescent="0.25" r="31" customHeight="1" ht="17.25">
      <c r="A31" s="1"/>
      <c r="B31" s="7" t="s">
        <v>22</v>
      </c>
      <c r="C31" s="7" t="s">
        <v>866</v>
      </c>
      <c r="D31" s="7" t="s">
        <v>22</v>
      </c>
      <c r="E31" s="8">
        <f>1</f>
      </c>
      <c r="F31" s="8">
        <f>0</f>
      </c>
    </row>
    <row x14ac:dyDescent="0.25" r="32" customHeight="1" ht="17.25">
      <c r="A32" s="1"/>
      <c r="B32" s="7" t="s">
        <v>22</v>
      </c>
      <c r="C32" s="7" t="s">
        <v>867</v>
      </c>
      <c r="D32" s="7" t="s">
        <v>867</v>
      </c>
      <c r="E32" s="8">
        <f>1</f>
      </c>
      <c r="F32" s="8">
        <f>1</f>
      </c>
    </row>
    <row x14ac:dyDescent="0.25" r="33" customHeight="1" ht="17.25">
      <c r="A33" s="1"/>
      <c r="B33" s="7" t="s">
        <v>22</v>
      </c>
      <c r="C33" s="7" t="s">
        <v>22</v>
      </c>
      <c r="D33" s="7" t="s">
        <v>868</v>
      </c>
      <c r="E33" s="8">
        <f>0</f>
      </c>
      <c r="F33" s="8">
        <f>1</f>
      </c>
    </row>
    <row x14ac:dyDescent="0.25" r="34" customHeight="1" ht="17.25">
      <c r="A34" s="1"/>
      <c r="B34" s="7" t="s">
        <v>22</v>
      </c>
      <c r="C34" s="7" t="s">
        <v>22</v>
      </c>
      <c r="D34" s="7" t="s">
        <v>869</v>
      </c>
      <c r="E34" s="8">
        <f>0</f>
      </c>
      <c r="F34" s="8">
        <f>1</f>
      </c>
    </row>
    <row x14ac:dyDescent="0.25" r="35" customHeight="1" ht="17.25">
      <c r="A35" s="1"/>
      <c r="B35" s="7" t="s">
        <v>870</v>
      </c>
      <c r="C35" s="7" t="s">
        <v>870</v>
      </c>
      <c r="D35" s="7" t="s">
        <v>871</v>
      </c>
      <c r="E35" s="8">
        <f>SQRT(0^2 + 0^2 + 0^2 + 0^2)</f>
      </c>
      <c r="F35" s="10">
        <f>SQRT(0^2 + 0^2 + 1^2 + 1^2)</f>
      </c>
    </row>
    <row x14ac:dyDescent="0.25" r="36" customHeight="1" ht="17.25">
      <c r="A36" s="1"/>
      <c r="B36" s="7" t="s">
        <v>872</v>
      </c>
      <c r="C36" s="7" t="s">
        <v>22</v>
      </c>
      <c r="D36" s="7" t="s">
        <v>22</v>
      </c>
      <c r="E36" s="8">
        <f>SQRT(1^2 + 1^2 + 1^2 + 1^2)</f>
      </c>
      <c r="F36" s="8">
        <f>SQRT(1^2 + 1^2 + 1^2 + 1^2)</f>
      </c>
    </row>
    <row x14ac:dyDescent="0.25" r="37" customHeight="1" ht="17.25">
      <c r="A37" s="1"/>
      <c r="B37" s="7" t="s">
        <v>873</v>
      </c>
      <c r="C37" s="7" t="s">
        <v>22</v>
      </c>
      <c r="D37" s="7" t="s">
        <v>22</v>
      </c>
      <c r="E37" s="8">
        <f>SQRT(1^2 + 1^2 + 1^2 + 1^2)</f>
      </c>
      <c r="F37" s="8">
        <f>SQRT(1^2 + 1^2 + 1^2 + 1^2)</f>
      </c>
    </row>
    <row x14ac:dyDescent="0.25" r="38" customHeight="1" ht="17.25">
      <c r="A38" s="1"/>
      <c r="B38" s="7" t="s">
        <v>874</v>
      </c>
      <c r="C38" s="7" t="s">
        <v>22</v>
      </c>
      <c r="D38" s="7" t="s">
        <v>22</v>
      </c>
      <c r="E38" s="8">
        <f>SQRT(1^2 + 1^2 + 1^2 + 1^2)</f>
      </c>
      <c r="F38" s="8">
        <f>SQRT(1^2 + 1^2 + 1^2 + 1^2)</f>
      </c>
    </row>
    <row x14ac:dyDescent="0.25" r="39" customHeight="1" ht="17.25">
      <c r="A39" s="1"/>
      <c r="B39" s="7" t="s">
        <v>875</v>
      </c>
      <c r="C39" s="7" t="s">
        <v>22</v>
      </c>
      <c r="D39" s="7" t="s">
        <v>22</v>
      </c>
      <c r="E39" s="8">
        <f>SQRT(1^2 + 1^2 + 1^2 + 1^2)</f>
      </c>
      <c r="F39" s="8">
        <f>SQRT(1^2 + 1^2 + 1^2 + 1^2)</f>
      </c>
    </row>
    <row x14ac:dyDescent="0.25" r="40" customHeight="1" ht="17.25">
      <c r="A40" s="1"/>
      <c r="B40" s="7" t="s">
        <v>876</v>
      </c>
      <c r="C40" s="7" t="s">
        <v>22</v>
      </c>
      <c r="D40" s="7" t="s">
        <v>22</v>
      </c>
      <c r="E40" s="8">
        <f>SQRT(1^2 + 1^2 + 1^2 + 1^2)</f>
      </c>
      <c r="F40" s="8">
        <f>SQRT(1^2 + 1^2 + 1^2 + 1^2)</f>
      </c>
    </row>
    <row x14ac:dyDescent="0.25" r="41" customHeight="1" ht="17.25">
      <c r="A41" s="1"/>
      <c r="B41" s="7" t="s">
        <v>877</v>
      </c>
      <c r="C41" s="7" t="s">
        <v>877</v>
      </c>
      <c r="D41" s="7" t="s">
        <v>22</v>
      </c>
      <c r="E41" s="8">
        <f>SQRT(0^2 + 0^2 + 0^2 + 0^2)</f>
      </c>
      <c r="F41" s="8">
        <f>SQRT(1^2 + 1^2 + 1^2 + 1^2)</f>
      </c>
    </row>
    <row x14ac:dyDescent="0.25" r="42" customHeight="1" ht="17.25">
      <c r="A42" s="1"/>
      <c r="B42" s="7" t="s">
        <v>878</v>
      </c>
      <c r="C42" s="7" t="s">
        <v>878</v>
      </c>
      <c r="D42" s="7" t="s">
        <v>22</v>
      </c>
      <c r="E42" s="8">
        <f>SQRT(0^2 + 0^2 + 0^2 + 0^2)</f>
      </c>
      <c r="F42" s="8">
        <f>SQRT(1^2 + 1^2 + 1^2 + 1^2)</f>
      </c>
    </row>
    <row x14ac:dyDescent="0.25" r="43" customHeight="1" ht="17.25">
      <c r="A43" s="1"/>
      <c r="B43" s="7" t="s">
        <v>22</v>
      </c>
      <c r="C43" s="7" t="s">
        <v>879</v>
      </c>
      <c r="D43" s="7" t="s">
        <v>879</v>
      </c>
      <c r="E43" s="8">
        <f>SQRT(1^2 + 1^2 + 1^2 + 1^2)</f>
      </c>
      <c r="F43" s="8">
        <f>SQRT(1^2 + 1^2 + 1^2 + 1^2)</f>
      </c>
    </row>
    <row x14ac:dyDescent="0.25" r="44" customHeight="1" ht="17.25">
      <c r="A44" s="1"/>
      <c r="B44" s="7" t="s">
        <v>22</v>
      </c>
      <c r="C44" s="7" t="s">
        <v>880</v>
      </c>
      <c r="D44" s="7" t="s">
        <v>881</v>
      </c>
      <c r="E44" s="8">
        <f>SQRT(1^2 + 1^2 + 1^2 + 1^2)</f>
      </c>
      <c r="F44" s="8">
        <f>SQRT(1^2 + 1^2 + 1^2 + 1^2)</f>
      </c>
    </row>
    <row x14ac:dyDescent="0.25" r="45" customHeight="1" ht="17.25">
      <c r="A45" s="1"/>
      <c r="B45" s="7" t="s">
        <v>22</v>
      </c>
      <c r="C45" s="7" t="s">
        <v>882</v>
      </c>
      <c r="D45" s="7" t="s">
        <v>883</v>
      </c>
      <c r="E45" s="8">
        <f>SQRT(1^2 + 1^2 + 1^2 + 1^2)</f>
      </c>
      <c r="F45" s="8">
        <f>SQRT(1^2 + 1^2 + 1^2 + 1^2)</f>
      </c>
    </row>
    <row x14ac:dyDescent="0.25" r="46" customHeight="1" ht="17.25">
      <c r="A46" s="1"/>
      <c r="B46" s="7" t="s">
        <v>22</v>
      </c>
      <c r="C46" s="7" t="s">
        <v>884</v>
      </c>
      <c r="D46" s="7" t="s">
        <v>885</v>
      </c>
      <c r="E46" s="8">
        <f>SQRT(1^2 + 1^2 + 1^2 + 1^2)</f>
      </c>
      <c r="F46" s="8">
        <f>SQRT(1^2 + 1^2 + 1^2 + 1^2)</f>
      </c>
    </row>
    <row x14ac:dyDescent="0.25" r="47" customHeight="1" ht="17.25">
      <c r="A47" s="1"/>
      <c r="B47" s="7" t="s">
        <v>22</v>
      </c>
      <c r="C47" s="7" t="s">
        <v>886</v>
      </c>
      <c r="D47" s="7" t="s">
        <v>22</v>
      </c>
      <c r="E47" s="8">
        <f>SQRT(1^2 + 1^2 + 1^2 + 1^2)</f>
      </c>
      <c r="F47" s="8">
        <f>SQRT(1^2 + 1^2 + 1^2 + 1^2)</f>
      </c>
    </row>
    <row x14ac:dyDescent="0.25" r="48" customHeight="1" ht="17.25">
      <c r="A48" s="1"/>
      <c r="B48" s="7" t="s">
        <v>22</v>
      </c>
      <c r="C48" s="7" t="s">
        <v>887</v>
      </c>
      <c r="D48" s="7" t="s">
        <v>22</v>
      </c>
      <c r="E48" s="8">
        <f>SQRT(1^2 + 1^2 + 1^2 + 1^2)</f>
      </c>
      <c r="F48" s="8">
        <f>SQRT(1^2 + 1^2 + 1^2 + 1^2)</f>
      </c>
    </row>
    <row x14ac:dyDescent="0.25" r="49" customHeight="1" ht="17.25">
      <c r="A49" s="1"/>
      <c r="B49" s="7" t="s">
        <v>22</v>
      </c>
      <c r="C49" s="7" t="s">
        <v>888</v>
      </c>
      <c r="D49" s="7" t="s">
        <v>22</v>
      </c>
      <c r="E49" s="8">
        <f>SQRT(1^2 + 1^2 + 1^2 + 1^2)</f>
      </c>
      <c r="F49" s="8">
        <f>SQRT(1^2 + 1^2 + 1^2 + 1^2)</f>
      </c>
    </row>
    <row x14ac:dyDescent="0.25" r="50" customHeight="1" ht="17.25">
      <c r="A50" s="1"/>
      <c r="B50" s="7" t="s">
        <v>22</v>
      </c>
      <c r="C50" s="7" t="s">
        <v>889</v>
      </c>
      <c r="D50" s="7" t="s">
        <v>22</v>
      </c>
      <c r="E50" s="8">
        <f>SQRT(1^2 + 1^2 + 1^2 + 1^2)</f>
      </c>
      <c r="F50" s="8">
        <f>SQRT(1^2 + 1^2 + 1^2 + 1^2)</f>
      </c>
    </row>
    <row x14ac:dyDescent="0.25" r="51" customHeight="1" ht="17.25">
      <c r="A51" s="1"/>
      <c r="B51" s="7" t="s">
        <v>22</v>
      </c>
      <c r="C51" s="7" t="s">
        <v>890</v>
      </c>
      <c r="D51" s="7" t="s">
        <v>22</v>
      </c>
      <c r="E51" s="8">
        <f>SQRT(1^2 + 1^2 + 1^2 + 1^2)</f>
      </c>
      <c r="F51" s="8">
        <f>SQRT(1^2 + 1^2 + 1^2 + 1^2)</f>
      </c>
    </row>
    <row x14ac:dyDescent="0.25" r="52" customHeight="1" ht="17.25">
      <c r="A52" s="1"/>
      <c r="B52" s="7" t="s">
        <v>22</v>
      </c>
      <c r="C52" s="7" t="s">
        <v>22</v>
      </c>
      <c r="D52" s="7" t="s">
        <v>891</v>
      </c>
      <c r="E52" s="8">
        <f>SQRT(1^2 + 1^2 + 1^2 + 1^2)</f>
      </c>
      <c r="F52" s="8">
        <f>SQRT(1^2 + 1^2 + 1^2 + 1^2)</f>
      </c>
    </row>
    <row x14ac:dyDescent="0.25" r="53" customHeight="1" ht="17.25">
      <c r="A53" s="1"/>
      <c r="B53" s="7" t="s">
        <v>22</v>
      </c>
      <c r="C53" s="7" t="s">
        <v>22</v>
      </c>
      <c r="D53" s="7" t="s">
        <v>892</v>
      </c>
      <c r="E53" s="8">
        <f>SQRT(1^2 + 1^2 + 1^2 + 1^2)</f>
      </c>
      <c r="F53" s="8">
        <f>SQRT(1^2 + 1^2 + 1^2 + 1^2)</f>
      </c>
    </row>
    <row x14ac:dyDescent="0.25" r="54" customHeight="1" ht="17.25">
      <c r="A54" s="1"/>
      <c r="B54" s="7" t="s">
        <v>22</v>
      </c>
      <c r="C54" s="7" t="s">
        <v>22</v>
      </c>
      <c r="D54" s="7" t="s">
        <v>893</v>
      </c>
      <c r="E54" s="8">
        <f>SQRT(1^2 + 1^2 + 1^2 + 1^2)</f>
      </c>
      <c r="F54" s="8">
        <f>SQRT(1^2 + 1^2 + 1^2 + 1^2)</f>
      </c>
    </row>
    <row x14ac:dyDescent="0.25" r="55" customHeight="1" ht="17.25">
      <c r="A55" s="1"/>
      <c r="B55" s="7" t="s">
        <v>22</v>
      </c>
      <c r="C55" s="7" t="s">
        <v>22</v>
      </c>
      <c r="D55" s="7" t="s">
        <v>894</v>
      </c>
      <c r="E55" s="8">
        <f>SQRT(1^2 + 1^2 + 1^2 + 1^2)</f>
      </c>
      <c r="F55" s="8">
        <f>SQRT(1^2 + 1^2 + 1^2 + 1^2)</f>
      </c>
    </row>
    <row x14ac:dyDescent="0.25" r="56" customHeight="1" ht="17.25">
      <c r="A56" s="1"/>
      <c r="B56" s="7" t="s">
        <v>22</v>
      </c>
      <c r="C56" s="7" t="s">
        <v>22</v>
      </c>
      <c r="D56" s="7" t="s">
        <v>895</v>
      </c>
      <c r="E56" s="8">
        <f>SQRT(1^2 + 1^2 + 1^2 + 1^2)</f>
      </c>
      <c r="F56" s="8">
        <f>SQRT(1^2 + 1^2 + 1^2 + 1^2)</f>
      </c>
    </row>
    <row x14ac:dyDescent="0.25" r="57" customHeight="1" ht="17.25">
      <c r="A57" s="1"/>
      <c r="B57" s="7" t="s">
        <v>22</v>
      </c>
      <c r="C57" s="7" t="s">
        <v>22</v>
      </c>
      <c r="D57" s="7" t="s">
        <v>896</v>
      </c>
      <c r="E57" s="8">
        <f>SQRT(1^2 + 1^2 + 1^2 + 1^2)</f>
      </c>
      <c r="F57" s="8">
        <f>SQRT(1^2 + 1^2 + 1^2 + 1^2)</f>
      </c>
    </row>
    <row x14ac:dyDescent="0.25" r="58" customHeight="1" ht="17.25">
      <c r="A58" s="1"/>
      <c r="B58" s="1"/>
      <c r="C58" s="1"/>
      <c r="D58" s="19"/>
      <c r="E58" s="3"/>
      <c r="F58" s="3"/>
    </row>
    <row x14ac:dyDescent="0.25" r="59" customHeight="1" ht="17.25">
      <c r="A59" s="1"/>
      <c r="B59" s="1"/>
      <c r="C59" s="1"/>
      <c r="D59" s="19"/>
      <c r="E59" s="3"/>
      <c r="F59" s="3"/>
    </row>
    <row x14ac:dyDescent="0.25" r="60" customHeight="1" ht="17.25">
      <c r="A60" s="1"/>
      <c r="B60" s="1"/>
      <c r="C60" s="1"/>
      <c r="D60" s="7" t="s">
        <v>82</v>
      </c>
      <c r="E60" s="10">
        <f>SQRT(SUMSQ(E3:E57))</f>
      </c>
      <c r="F60" s="10">
        <f>SQRT(SUMSQ(F3:F57))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0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8.290714285714284" customWidth="1" bestFit="1"/>
    <col min="3" max="3" style="11" width="31.14785714285714" customWidth="1" bestFit="1"/>
    <col min="4" max="4" style="20" width="27.862142857142857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764</v>
      </c>
      <c r="C3" s="7" t="s">
        <v>765</v>
      </c>
      <c r="D3" s="7" t="s">
        <v>765</v>
      </c>
      <c r="E3" s="8">
        <f>0</f>
      </c>
      <c r="F3" s="8">
        <f>0</f>
      </c>
    </row>
    <row x14ac:dyDescent="0.25" r="4" customHeight="1" ht="17.25">
      <c r="A4" s="1"/>
      <c r="B4" s="7" t="s">
        <v>766</v>
      </c>
      <c r="C4" s="7" t="s">
        <v>767</v>
      </c>
      <c r="D4" s="7" t="s">
        <v>768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769</v>
      </c>
      <c r="C5" s="7" t="s">
        <v>770</v>
      </c>
      <c r="D5" s="7" t="s">
        <v>22</v>
      </c>
      <c r="E5" s="8">
        <f>SQRT(0^2 + 0^2 + 0^2 + 0^2)</f>
      </c>
      <c r="F5" s="8">
        <f>SQRT(1^2 + 1^2 + 1^2 + 1^2)</f>
      </c>
    </row>
    <row x14ac:dyDescent="0.25" r="6" customHeight="1" ht="17.25">
      <c r="A6" s="1"/>
      <c r="B6" s="7" t="s">
        <v>771</v>
      </c>
      <c r="C6" s="7" t="s">
        <v>772</v>
      </c>
      <c r="D6" s="7" t="s">
        <v>22</v>
      </c>
      <c r="E6" s="8">
        <f>SQRT(0^2 + 0^2 + 0^2 + 0^2)</f>
      </c>
      <c r="F6" s="8">
        <f>SQRT(1^2 + 1^2 + 1^2 + 1^2)</f>
      </c>
    </row>
    <row x14ac:dyDescent="0.25" r="7" customHeight="1" ht="17.25">
      <c r="A7" s="1"/>
      <c r="B7" s="7" t="s">
        <v>773</v>
      </c>
      <c r="C7" s="7" t="s">
        <v>774</v>
      </c>
      <c r="D7" s="7" t="s">
        <v>22</v>
      </c>
      <c r="E7" s="8">
        <f>SQRT(0^2 + 0^2 + 0^2 + 0^2)</f>
      </c>
      <c r="F7" s="8">
        <f>SQRT(1^2 + 1^2 + 1^2 + 1^2)</f>
      </c>
    </row>
    <row x14ac:dyDescent="0.25" r="8" customHeight="1" ht="17.25">
      <c r="A8" s="1"/>
      <c r="B8" s="7" t="s">
        <v>775</v>
      </c>
      <c r="C8" s="7" t="s">
        <v>776</v>
      </c>
      <c r="D8" s="7" t="s">
        <v>22</v>
      </c>
      <c r="E8" s="8">
        <f>SQRT(0^2 + 0^2 + 0^2 + 0^2)</f>
      </c>
      <c r="F8" s="8">
        <f>SQRT(1^2 + 1^2 + 1^2 + 1^2)</f>
      </c>
    </row>
    <row x14ac:dyDescent="0.25" r="9" customHeight="1" ht="17.25">
      <c r="A9" s="1"/>
      <c r="B9" s="7" t="s">
        <v>90</v>
      </c>
      <c r="C9" s="7" t="s">
        <v>90</v>
      </c>
      <c r="D9" s="7" t="s">
        <v>90</v>
      </c>
      <c r="E9" s="8">
        <f>0</f>
      </c>
      <c r="F9" s="8">
        <f>0</f>
      </c>
    </row>
    <row x14ac:dyDescent="0.25" r="10" customHeight="1" ht="17.25">
      <c r="A10" s="1"/>
      <c r="B10" s="7" t="s">
        <v>777</v>
      </c>
      <c r="C10" s="7" t="s">
        <v>777</v>
      </c>
      <c r="D10" s="7" t="s">
        <v>22</v>
      </c>
      <c r="E10" s="8">
        <f>SQRT(0^2 + 0^2 + 0^2 + 0^2)</f>
      </c>
      <c r="F10" s="8">
        <f>SQRT(1^2 + 1^2 + 1^2 + 1^2)</f>
      </c>
    </row>
    <row x14ac:dyDescent="0.25" r="11" customHeight="1" ht="17.25">
      <c r="A11" s="1"/>
      <c r="B11" s="7" t="s">
        <v>778</v>
      </c>
      <c r="C11" s="7" t="s">
        <v>778</v>
      </c>
      <c r="D11" s="7" t="s">
        <v>22</v>
      </c>
      <c r="E11" s="8">
        <f>SQRT(0^2 + 0^2 + 0^2 + 0^2)</f>
      </c>
      <c r="F11" s="8">
        <f>SQRT(1^2 + 1^2 + 1^2 + 1^2)</f>
      </c>
    </row>
    <row x14ac:dyDescent="0.25" r="12" customHeight="1" ht="17.25">
      <c r="A12" s="1"/>
      <c r="B12" s="7" t="s">
        <v>779</v>
      </c>
      <c r="C12" s="7" t="s">
        <v>779</v>
      </c>
      <c r="D12" s="7" t="s">
        <v>22</v>
      </c>
      <c r="E12" s="8">
        <f>SQRT(0^2 + 0^2 + 0^2 + 0^2)</f>
      </c>
      <c r="F12" s="8">
        <f>SQRT(1^2 + 1^2 + 1^2 + 1^2)</f>
      </c>
    </row>
    <row x14ac:dyDescent="0.25" r="13" customHeight="1" ht="17.25">
      <c r="A13" s="1"/>
      <c r="B13" s="7" t="s">
        <v>780</v>
      </c>
      <c r="C13" s="7" t="s">
        <v>780</v>
      </c>
      <c r="D13" s="7" t="s">
        <v>22</v>
      </c>
      <c r="E13" s="8">
        <f>SQRT(0^2 + 0^2 + 0^2 + 0^2)</f>
      </c>
      <c r="F13" s="8">
        <f>SQRT(1^2 + 1^2 + 1^2 + 1^2)</f>
      </c>
    </row>
    <row x14ac:dyDescent="0.25" r="14" customHeight="1" ht="17.25">
      <c r="A14" s="1"/>
      <c r="B14" s="7" t="s">
        <v>781</v>
      </c>
      <c r="C14" s="7" t="s">
        <v>22</v>
      </c>
      <c r="D14" s="7" t="s">
        <v>22</v>
      </c>
      <c r="E14" s="8">
        <f>SQRT(1^2 + 1^2 + 1^2 + 1^2)</f>
      </c>
      <c r="F14" s="8">
        <f>SQRT(1^2 + 1^2 + 1^2 + 1^2)</f>
      </c>
    </row>
    <row x14ac:dyDescent="0.25" r="15" customHeight="1" ht="17.25">
      <c r="A15" s="1"/>
      <c r="B15" s="7" t="s">
        <v>782</v>
      </c>
      <c r="C15" s="7" t="s">
        <v>22</v>
      </c>
      <c r="D15" s="7" t="s">
        <v>22</v>
      </c>
      <c r="E15" s="8">
        <f>SQRT(1^2 + 1^2 + 1^2 + 1^2)</f>
      </c>
      <c r="F15" s="8">
        <f>SQRT(1^2 + 1^2 + 1^2 + 1^2)</f>
      </c>
    </row>
    <row x14ac:dyDescent="0.25" r="16" customHeight="1" ht="17.25">
      <c r="A16" s="1"/>
      <c r="B16" s="7" t="s">
        <v>96</v>
      </c>
      <c r="C16" s="7" t="s">
        <v>96</v>
      </c>
      <c r="D16" s="7" t="s">
        <v>96</v>
      </c>
      <c r="E16" s="8">
        <f>0</f>
      </c>
      <c r="F16" s="8">
        <f>0</f>
      </c>
    </row>
    <row x14ac:dyDescent="0.25" r="17" customHeight="1" ht="17.25">
      <c r="A17" s="1"/>
      <c r="B17" s="7" t="s">
        <v>783</v>
      </c>
      <c r="C17" s="7" t="s">
        <v>783</v>
      </c>
      <c r="D17" s="7" t="s">
        <v>22</v>
      </c>
      <c r="E17" s="8">
        <f>SQRT(0^2 + 0^2 + 0^2 + 0^2)</f>
      </c>
      <c r="F17" s="8">
        <f>SQRT(1^2 + 1^2 + 1^2 + 1^2)</f>
      </c>
    </row>
    <row x14ac:dyDescent="0.25" r="18" customHeight="1" ht="17.25">
      <c r="A18" s="1"/>
      <c r="B18" s="7" t="s">
        <v>784</v>
      </c>
      <c r="C18" s="7" t="s">
        <v>784</v>
      </c>
      <c r="D18" s="7" t="s">
        <v>22</v>
      </c>
      <c r="E18" s="8">
        <f>SQRT(0^2 + 0^2 + 0^2 + 0^2)</f>
      </c>
      <c r="F18" s="8">
        <f>SQRT(1^2 + 1^2 + 1^2 + 1^2)</f>
      </c>
    </row>
    <row x14ac:dyDescent="0.25" r="19" customHeight="1" ht="17.25">
      <c r="A19" s="1"/>
      <c r="B19" s="7" t="s">
        <v>785</v>
      </c>
      <c r="C19" s="7" t="s">
        <v>785</v>
      </c>
      <c r="D19" s="7" t="s">
        <v>22</v>
      </c>
      <c r="E19" s="8">
        <f>SQRT(0^2 + 0^2 + 0^2 + 0^2)</f>
      </c>
      <c r="F19" s="8">
        <f>SQRT(1^2 + 1^2 + 1^2 + 1^2)</f>
      </c>
    </row>
    <row x14ac:dyDescent="0.25" r="20" customHeight="1" ht="17.25">
      <c r="A20" s="1"/>
      <c r="B20" s="7" t="s">
        <v>786</v>
      </c>
      <c r="C20" s="7" t="s">
        <v>786</v>
      </c>
      <c r="D20" s="7" t="s">
        <v>22</v>
      </c>
      <c r="E20" s="8">
        <f>SQRT(0^2 + 0^2 + 0^2 + 0^2)</f>
      </c>
      <c r="F20" s="8">
        <f>SQRT(1^2 + 1^2 + 1^2 + 1^2)</f>
      </c>
    </row>
    <row x14ac:dyDescent="0.25" r="21" customHeight="1" ht="17.25">
      <c r="A21" s="1"/>
      <c r="B21" s="7" t="s">
        <v>787</v>
      </c>
      <c r="C21" s="7" t="s">
        <v>787</v>
      </c>
      <c r="D21" s="7" t="s">
        <v>22</v>
      </c>
      <c r="E21" s="8">
        <f>SQRT(0^2 + 0^2 + 0^2 + 0^2)</f>
      </c>
      <c r="F21" s="8">
        <f>SQRT(1^2 + 1^2 + 1^2 + 1^2)</f>
      </c>
    </row>
    <row x14ac:dyDescent="0.25" r="22" customHeight="1" ht="17.25">
      <c r="A22" s="1"/>
      <c r="B22" s="7" t="s">
        <v>788</v>
      </c>
      <c r="C22" s="7" t="s">
        <v>788</v>
      </c>
      <c r="D22" s="7" t="s">
        <v>22</v>
      </c>
      <c r="E22" s="8">
        <f>SQRT(0^2 + 0^2 + 0^2 + 0^2)</f>
      </c>
      <c r="F22" s="8">
        <f>SQRT(1^2 + 1^2 + 1^2 + 1^2)</f>
      </c>
    </row>
    <row x14ac:dyDescent="0.25" r="23" customHeight="1" ht="17.25">
      <c r="A23" s="1"/>
      <c r="B23" s="7" t="s">
        <v>789</v>
      </c>
      <c r="C23" s="7" t="s">
        <v>789</v>
      </c>
      <c r="D23" s="7" t="s">
        <v>789</v>
      </c>
      <c r="E23" s="8">
        <f>0</f>
      </c>
      <c r="F23" s="8">
        <f>0</f>
      </c>
    </row>
    <row x14ac:dyDescent="0.25" r="24" customHeight="1" ht="17.25">
      <c r="A24" s="1"/>
      <c r="B24" s="7" t="s">
        <v>790</v>
      </c>
      <c r="C24" s="7" t="s">
        <v>790</v>
      </c>
      <c r="D24" s="7" t="s">
        <v>790</v>
      </c>
      <c r="E24" s="8">
        <f>SQRT(0^2 + 0^2 + 0^2 + 0^2)</f>
      </c>
      <c r="F24" s="8">
        <f>SQRT(0^2 + 0^2 + 0^2 + 0^2)</f>
      </c>
    </row>
    <row x14ac:dyDescent="0.25" r="25" customHeight="1" ht="17.25">
      <c r="A25" s="1"/>
      <c r="B25" s="7" t="s">
        <v>791</v>
      </c>
      <c r="C25" s="7" t="s">
        <v>22</v>
      </c>
      <c r="D25" s="7" t="s">
        <v>22</v>
      </c>
      <c r="E25" s="8">
        <f>SQRT(1^2 + 1^2 + 1^2 + 1^2)</f>
      </c>
      <c r="F25" s="8">
        <f>SQRT(1^2 + 1^2 + 1^2 + 1^2)</f>
      </c>
    </row>
    <row x14ac:dyDescent="0.25" r="26" customHeight="1" ht="17.25">
      <c r="A26" s="1"/>
      <c r="B26" s="7" t="s">
        <v>792</v>
      </c>
      <c r="C26" s="7" t="s">
        <v>22</v>
      </c>
      <c r="D26" s="7" t="s">
        <v>22</v>
      </c>
      <c r="E26" s="8">
        <f>SQRT(1^2 + 1^2 + 1^2 + 1^2)</f>
      </c>
      <c r="F26" s="8">
        <f>SQRT(1^2 + 1^2 + 1^2 + 1^2)</f>
      </c>
    </row>
    <row x14ac:dyDescent="0.25" r="27" customHeight="1" ht="17.25">
      <c r="A27" s="1"/>
      <c r="B27" s="7" t="s">
        <v>793</v>
      </c>
      <c r="C27" s="7" t="s">
        <v>22</v>
      </c>
      <c r="D27" s="7" t="s">
        <v>22</v>
      </c>
      <c r="E27" s="8">
        <f>SQRT(1^2 + 1^2 + 1^2 + 1^2)</f>
      </c>
      <c r="F27" s="8">
        <f>SQRT(1^2 + 1^2 + 1^2 + 1^2)</f>
      </c>
    </row>
    <row x14ac:dyDescent="0.25" r="28" customHeight="1" ht="17.25">
      <c r="A28" s="1"/>
      <c r="B28" s="7" t="s">
        <v>794</v>
      </c>
      <c r="C28" s="7" t="s">
        <v>794</v>
      </c>
      <c r="D28" s="7" t="s">
        <v>22</v>
      </c>
      <c r="E28" s="8">
        <f>SQRT(0^2 + 0^2 + 0^2 + 0^2)</f>
      </c>
      <c r="F28" s="8">
        <f>SQRT(1^2 + 1^2 + 1^2 + 1^2)</f>
      </c>
    </row>
    <row x14ac:dyDescent="0.25" r="29" customHeight="1" ht="17.25">
      <c r="A29" s="1"/>
      <c r="B29" s="7" t="s">
        <v>795</v>
      </c>
      <c r="C29" s="7" t="s">
        <v>795</v>
      </c>
      <c r="D29" s="7" t="s">
        <v>796</v>
      </c>
      <c r="E29" s="8">
        <f>SQRT(0^2 + 0^2 + 0^2 + 0^2)</f>
      </c>
      <c r="F29" s="8">
        <f>SQRT(0^2 + 0^2 + 0^2 + 0^2)</f>
      </c>
    </row>
    <row x14ac:dyDescent="0.25" r="30" customHeight="1" ht="17.25">
      <c r="A30" s="1"/>
      <c r="B30" s="7" t="s">
        <v>797</v>
      </c>
      <c r="C30" s="7" t="s">
        <v>797</v>
      </c>
      <c r="D30" s="7" t="s">
        <v>798</v>
      </c>
      <c r="E30" s="8">
        <f>SQRT(0^2 + 0^2 + 0^2 + 0^2)</f>
      </c>
      <c r="F30" s="8">
        <f>SQRT(0^2 + 0^2 + 0^2 + 0^2)</f>
      </c>
    </row>
    <row x14ac:dyDescent="0.25" r="31" customHeight="1" ht="17.25">
      <c r="A31" s="1"/>
      <c r="B31" s="7" t="s">
        <v>22</v>
      </c>
      <c r="C31" s="7" t="s">
        <v>799</v>
      </c>
      <c r="D31" s="7" t="s">
        <v>799</v>
      </c>
      <c r="E31" s="8">
        <f>1</f>
      </c>
      <c r="F31" s="8">
        <f>1</f>
      </c>
    </row>
    <row x14ac:dyDescent="0.25" r="32" customHeight="1" ht="17.25">
      <c r="A32" s="1"/>
      <c r="B32" s="7" t="s">
        <v>22</v>
      </c>
      <c r="C32" s="7" t="s">
        <v>800</v>
      </c>
      <c r="D32" s="7" t="s">
        <v>800</v>
      </c>
      <c r="E32" s="8">
        <f>1</f>
      </c>
      <c r="F32" s="8">
        <f>1</f>
      </c>
    </row>
    <row x14ac:dyDescent="0.25" r="33" customHeight="1" ht="17.25">
      <c r="A33" s="1"/>
      <c r="B33" s="7" t="s">
        <v>22</v>
      </c>
      <c r="C33" s="7" t="s">
        <v>22</v>
      </c>
      <c r="D33" s="7" t="s">
        <v>83</v>
      </c>
      <c r="E33" s="8">
        <f>0</f>
      </c>
      <c r="F33" s="8">
        <f>1</f>
      </c>
    </row>
    <row x14ac:dyDescent="0.25" r="34" customHeight="1" ht="17.25">
      <c r="A34" s="1"/>
      <c r="B34" s="7" t="s">
        <v>22</v>
      </c>
      <c r="C34" s="7" t="s">
        <v>22</v>
      </c>
      <c r="D34" s="7" t="s">
        <v>184</v>
      </c>
      <c r="E34" s="8">
        <f>0</f>
      </c>
      <c r="F34" s="8">
        <f>1</f>
      </c>
    </row>
    <row x14ac:dyDescent="0.25" r="35" customHeight="1" ht="17.25">
      <c r="A35" s="1"/>
      <c r="B35" s="7" t="s">
        <v>110</v>
      </c>
      <c r="C35" s="7" t="s">
        <v>110</v>
      </c>
      <c r="D35" s="7" t="s">
        <v>110</v>
      </c>
      <c r="E35" s="8">
        <f>0</f>
      </c>
      <c r="F35" s="8">
        <f>0</f>
      </c>
    </row>
    <row x14ac:dyDescent="0.25" r="36" customHeight="1" ht="17.25">
      <c r="A36" s="1"/>
      <c r="B36" s="7" t="s">
        <v>606</v>
      </c>
      <c r="C36" s="7" t="s">
        <v>606</v>
      </c>
      <c r="D36" s="7" t="s">
        <v>606</v>
      </c>
      <c r="E36" s="8">
        <f>SQRT(0^2 + 0^2 + 0^2 + 0^2)</f>
      </c>
      <c r="F36" s="8">
        <f>SQRT(0^2 + 0^2 + 0^2 + 0^2)</f>
      </c>
    </row>
    <row x14ac:dyDescent="0.25" r="37" customHeight="1" ht="17.25">
      <c r="A37" s="1"/>
      <c r="B37" s="7" t="s">
        <v>608</v>
      </c>
      <c r="C37" s="7" t="s">
        <v>608</v>
      </c>
      <c r="D37" s="7" t="s">
        <v>608</v>
      </c>
      <c r="E37" s="8">
        <f>SQRT(0^2 + 0^2 + 0^2 + 0^2)</f>
      </c>
      <c r="F37" s="8">
        <f>SQRT(0^2 + 0^2 + 0^2 + 0^2)</f>
      </c>
    </row>
    <row x14ac:dyDescent="0.25" r="38" customHeight="1" ht="17.25">
      <c r="A38" s="1"/>
      <c r="B38" s="7" t="s">
        <v>801</v>
      </c>
      <c r="C38" s="7" t="s">
        <v>801</v>
      </c>
      <c r="D38" s="7" t="s">
        <v>22</v>
      </c>
      <c r="E38" s="8">
        <f>SQRT(0^2 + 0^2 + 0^2 + 0^2)</f>
      </c>
      <c r="F38" s="8">
        <f>SQRT(1^2 + 1^2 + 1^2 + 1^2)</f>
      </c>
    </row>
    <row x14ac:dyDescent="0.25" r="39" customHeight="1" ht="17.25">
      <c r="A39" s="1"/>
      <c r="B39" s="7" t="s">
        <v>802</v>
      </c>
      <c r="C39" s="7" t="s">
        <v>802</v>
      </c>
      <c r="D39" s="7" t="s">
        <v>803</v>
      </c>
      <c r="E39" s="8">
        <f>0</f>
      </c>
      <c r="F39" s="10">
        <f>0.5</f>
      </c>
    </row>
    <row x14ac:dyDescent="0.25" r="40" customHeight="1" ht="17.25">
      <c r="A40" s="1"/>
      <c r="B40" s="7" t="s">
        <v>804</v>
      </c>
      <c r="C40" s="7" t="s">
        <v>804</v>
      </c>
      <c r="D40" s="7" t="s">
        <v>22</v>
      </c>
      <c r="E40" s="8">
        <f>SQRT(0^2 + 0^2 + 0^2 + 0^2)</f>
      </c>
      <c r="F40" s="8">
        <f>SQRT(1^2 + 1^2 + 1^2 + 1^2)</f>
      </c>
    </row>
    <row x14ac:dyDescent="0.25" r="41" customHeight="1" ht="17.25">
      <c r="A41" s="1"/>
      <c r="B41" s="7" t="s">
        <v>805</v>
      </c>
      <c r="C41" s="7" t="s">
        <v>805</v>
      </c>
      <c r="D41" s="7" t="s">
        <v>806</v>
      </c>
      <c r="E41" s="8">
        <f>SQRT(0^2 + 0^2 + 0^2 + 0^2)</f>
      </c>
      <c r="F41" s="8">
        <f>SQRT(0^2 + 0^2 + 1^2 + 0^2)</f>
      </c>
    </row>
    <row x14ac:dyDescent="0.25" r="42" customHeight="1" ht="17.25">
      <c r="A42" s="1"/>
      <c r="B42" s="7" t="s">
        <v>807</v>
      </c>
      <c r="C42" s="7" t="s">
        <v>807</v>
      </c>
      <c r="D42" s="7" t="s">
        <v>808</v>
      </c>
      <c r="E42" s="8">
        <f>SQRT(0^2 + 0^2 + 0^2 + 0^2)</f>
      </c>
      <c r="F42" s="8">
        <f>SQRT(0^2 + 0^2 + 0^2 + 0^2)</f>
      </c>
    </row>
    <row x14ac:dyDescent="0.25" r="43" customHeight="1" ht="17.25">
      <c r="A43" s="1"/>
      <c r="B43" s="7" t="s">
        <v>809</v>
      </c>
      <c r="C43" s="7" t="s">
        <v>22</v>
      </c>
      <c r="D43" s="7" t="s">
        <v>22</v>
      </c>
      <c r="E43" s="8">
        <f>SQRT(1^2 + 1^2 + 1^2 + 1^2)</f>
      </c>
      <c r="F43" s="8">
        <f>SQRT(1^2 + 1^2 + 1^2 + 1^2)</f>
      </c>
    </row>
    <row x14ac:dyDescent="0.25" r="44" customHeight="1" ht="17.25">
      <c r="A44" s="1"/>
      <c r="B44" s="7" t="s">
        <v>810</v>
      </c>
      <c r="C44" s="7" t="s">
        <v>811</v>
      </c>
      <c r="D44" s="7" t="s">
        <v>812</v>
      </c>
      <c r="E44" s="8">
        <f>SQRT(0^2 + 0^2 + 0^2 + 0^2)</f>
      </c>
      <c r="F44" s="10">
        <f>SQRT(0^2 + 0^2 + 1^2 + 1^2)</f>
      </c>
    </row>
    <row x14ac:dyDescent="0.25" r="45" customHeight="1" ht="17.25">
      <c r="A45" s="1"/>
      <c r="B45" s="7" t="s">
        <v>813</v>
      </c>
      <c r="C45" s="7" t="s">
        <v>814</v>
      </c>
      <c r="D45" s="7" t="s">
        <v>22</v>
      </c>
      <c r="E45" s="8">
        <f>SQRT(0^2 + 0^2 + 0^2 + 0^2)</f>
      </c>
      <c r="F45" s="8">
        <f>SQRT(1^2 + 1^2 + 1^2 + 1^2)</f>
      </c>
    </row>
    <row x14ac:dyDescent="0.25" r="46" customHeight="1" ht="17.25">
      <c r="A46" s="1"/>
      <c r="B46" s="7" t="s">
        <v>815</v>
      </c>
      <c r="C46" s="7" t="s">
        <v>815</v>
      </c>
      <c r="D46" s="7" t="s">
        <v>22</v>
      </c>
      <c r="E46" s="8">
        <f>SQRT(0^2 + 0^2 + 0^2 + 0^2)</f>
      </c>
      <c r="F46" s="8">
        <f>SQRT(1^2 + 1^2 + 1^2 + 1^2)</f>
      </c>
    </row>
    <row x14ac:dyDescent="0.25" r="47" customHeight="1" ht="17.25">
      <c r="A47" s="1"/>
      <c r="B47" s="7" t="s">
        <v>816</v>
      </c>
      <c r="C47" s="7" t="s">
        <v>816</v>
      </c>
      <c r="D47" s="7" t="s">
        <v>817</v>
      </c>
      <c r="E47" s="8">
        <f>SQRT(0^2 + 0^2 + 0^2 + 0^2)</f>
      </c>
      <c r="F47" s="8">
        <f>SQRT(0^2 + 0^2 + 1^2 + 0^2)</f>
      </c>
    </row>
    <row x14ac:dyDescent="0.25" r="48" customHeight="1" ht="17.25">
      <c r="A48" s="1"/>
      <c r="B48" s="7" t="s">
        <v>818</v>
      </c>
      <c r="C48" s="7" t="s">
        <v>818</v>
      </c>
      <c r="D48" s="7" t="s">
        <v>819</v>
      </c>
      <c r="E48" s="8">
        <f>SQRT(0^2 + 0^2 + 0^2 + 0^2)</f>
      </c>
      <c r="F48" s="8">
        <f>SQRT(0^2 + 0^2 + 1^2 + 0^2)</f>
      </c>
    </row>
    <row x14ac:dyDescent="0.25" r="49" customHeight="1" ht="17.25">
      <c r="A49" s="1"/>
      <c r="B49" s="7" t="s">
        <v>820</v>
      </c>
      <c r="C49" s="7" t="s">
        <v>820</v>
      </c>
      <c r="D49" s="7" t="s">
        <v>22</v>
      </c>
      <c r="E49" s="8">
        <f>SQRT(0^2 + 0^2 + 0^2 + 0^2)</f>
      </c>
      <c r="F49" s="8">
        <f>SQRT(1^2 + 1^2 + 1^2 + 1^2)</f>
      </c>
    </row>
    <row x14ac:dyDescent="0.25" r="50" customHeight="1" ht="17.25">
      <c r="A50" s="1"/>
      <c r="B50" s="7" t="s">
        <v>821</v>
      </c>
      <c r="C50" s="7" t="s">
        <v>821</v>
      </c>
      <c r="D50" s="7" t="s">
        <v>822</v>
      </c>
      <c r="E50" s="8">
        <f>SQRT(0^2 + 0^2 + 0^2 + 0^2)</f>
      </c>
      <c r="F50" s="8">
        <f>SQRT(0^2 + 0^2 + 1^2 + 0^2)</f>
      </c>
    </row>
    <row x14ac:dyDescent="0.25" r="51" customHeight="1" ht="17.25">
      <c r="A51" s="1"/>
      <c r="B51" s="7" t="s">
        <v>22</v>
      </c>
      <c r="C51" s="7" t="s">
        <v>823</v>
      </c>
      <c r="D51" s="7" t="s">
        <v>22</v>
      </c>
      <c r="E51" s="8">
        <f>SQRT(1^2 + 1^2 + 1^2 + 1^2)</f>
      </c>
      <c r="F51" s="8">
        <f>SQRT(0^2 + 0^2 + 0^2 + 0^2)</f>
      </c>
    </row>
    <row x14ac:dyDescent="0.25" r="52" customHeight="1" ht="17.25">
      <c r="A52" s="1"/>
      <c r="B52" s="7" t="s">
        <v>22</v>
      </c>
      <c r="C52" s="7" t="s">
        <v>824</v>
      </c>
      <c r="D52" s="7" t="s">
        <v>22</v>
      </c>
      <c r="E52" s="8">
        <f>SQRT(1^2 + 1^2 + 1^2 + 1^2)</f>
      </c>
      <c r="F52" s="8">
        <f>SQRT(0^2 + 0^2 + 0^2 + 0^2)</f>
      </c>
    </row>
    <row x14ac:dyDescent="0.25" r="53" customHeight="1" ht="17.25">
      <c r="A53" s="1"/>
      <c r="B53" s="7" t="s">
        <v>22</v>
      </c>
      <c r="C53" s="7" t="s">
        <v>825</v>
      </c>
      <c r="D53" s="7" t="s">
        <v>22</v>
      </c>
      <c r="E53" s="8">
        <f>SQRT(1^2 + 1^2 + 1^2 + 1^2)</f>
      </c>
      <c r="F53" s="8">
        <f>SQRT(0^2 + 0^2 + 0^2 + 0^2)</f>
      </c>
    </row>
    <row x14ac:dyDescent="0.25" r="54" customHeight="1" ht="17.25">
      <c r="A54" s="1"/>
      <c r="B54" s="7" t="s">
        <v>22</v>
      </c>
      <c r="C54" s="7" t="s">
        <v>22</v>
      </c>
      <c r="D54" s="7" t="s">
        <v>826</v>
      </c>
      <c r="E54" s="8">
        <f>SQRT(0^2 + 0^2 + 0^2 + 0^2)</f>
      </c>
      <c r="F54" s="8">
        <f>SQRT(1^2 + 1^2 + 1^2 + 1^2)</f>
      </c>
    </row>
    <row x14ac:dyDescent="0.25" r="55" customHeight="1" ht="17.25">
      <c r="A55" s="1"/>
      <c r="B55" s="7" t="s">
        <v>22</v>
      </c>
      <c r="C55" s="7" t="s">
        <v>22</v>
      </c>
      <c r="D55" s="7" t="s">
        <v>827</v>
      </c>
      <c r="E55" s="8">
        <f>SQRT(0^2 + 0^2 + 0^2 + 0^2)</f>
      </c>
      <c r="F55" s="8">
        <f>SQRT(1^2 + 1^2 + 1^2 + 1^2)</f>
      </c>
    </row>
    <row x14ac:dyDescent="0.25" r="56" customHeight="1" ht="17.25">
      <c r="A56" s="1"/>
      <c r="B56" s="7" t="s">
        <v>22</v>
      </c>
      <c r="C56" s="7" t="s">
        <v>22</v>
      </c>
      <c r="D56" s="7" t="s">
        <v>828</v>
      </c>
      <c r="E56" s="8">
        <f>SQRT(0^2 + 0^2 + 0^2 + 0^2)</f>
      </c>
      <c r="F56" s="8">
        <f>SQRT(1^2 + 1^2 + 1^2 + 1^2)</f>
      </c>
    </row>
    <row x14ac:dyDescent="0.25" r="57" customHeight="1" ht="17.25">
      <c r="A57" s="1"/>
      <c r="B57" s="7" t="s">
        <v>22</v>
      </c>
      <c r="C57" s="7" t="s">
        <v>22</v>
      </c>
      <c r="D57" s="7" t="s">
        <v>120</v>
      </c>
      <c r="E57" s="8">
        <f>SQRT(0^2 + 0^2 + 0^2 + 0^2)</f>
      </c>
      <c r="F57" s="8">
        <f>SQRT(1^2 + 1^2 + 1^2 + 1^2)</f>
      </c>
    </row>
    <row x14ac:dyDescent="0.25" r="58" customHeight="1" ht="17.25">
      <c r="A58" s="1"/>
      <c r="B58" s="1"/>
      <c r="C58" s="1"/>
      <c r="D58" s="19"/>
      <c r="E58" s="3"/>
      <c r="F58" s="3"/>
    </row>
    <row x14ac:dyDescent="0.25" r="59" customHeight="1" ht="17.25">
      <c r="A59" s="1"/>
      <c r="B59" s="1"/>
      <c r="C59" s="1"/>
      <c r="D59" s="19"/>
      <c r="E59" s="3"/>
      <c r="F59" s="3"/>
    </row>
    <row x14ac:dyDescent="0.25" r="60" customHeight="1" ht="17.25">
      <c r="A60" s="1"/>
      <c r="B60" s="1"/>
      <c r="C60" s="1"/>
      <c r="D60" s="7" t="s">
        <v>82</v>
      </c>
      <c r="E60" s="10">
        <f>SQRT(SUMSQ(E3:E57))</f>
      </c>
      <c r="F60" s="10">
        <f>SQRT(SUMSQ(F3:F57))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8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9.005" customWidth="1" bestFit="1"/>
    <col min="3" max="3" style="11" width="29.005" customWidth="1" bestFit="1"/>
    <col min="4" max="4" style="20" width="34.57642857142857" customWidth="1" bestFit="1"/>
    <col min="5" max="5" style="13" width="12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2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4" t="s">
        <v>15</v>
      </c>
      <c r="F2" s="6" t="s">
        <v>16</v>
      </c>
    </row>
    <row x14ac:dyDescent="0.25" r="3" customHeight="1" ht="17.25">
      <c r="A3" s="1"/>
      <c r="B3" s="7" t="s">
        <v>83</v>
      </c>
      <c r="C3" s="7" t="s">
        <v>83</v>
      </c>
      <c r="D3" s="7" t="s">
        <v>83</v>
      </c>
      <c r="E3" s="8">
        <f>0</f>
      </c>
      <c r="F3" s="8">
        <f>0</f>
      </c>
    </row>
    <row x14ac:dyDescent="0.25" r="4" customHeight="1" ht="17.25">
      <c r="A4" s="1"/>
      <c r="B4" s="7" t="s">
        <v>706</v>
      </c>
      <c r="C4" s="7" t="s">
        <v>141</v>
      </c>
      <c r="D4" s="7" t="s">
        <v>706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707</v>
      </c>
      <c r="C5" s="7" t="s">
        <v>138</v>
      </c>
      <c r="D5" s="7" t="s">
        <v>22</v>
      </c>
      <c r="E5" s="8">
        <f>SQRT(0^2 + 0^2 + 0^2 + 0^2)</f>
      </c>
      <c r="F5" s="8">
        <f>SQRT(1^2 + 1^2 + 1^2 + 1^2)</f>
      </c>
    </row>
    <row x14ac:dyDescent="0.25" r="6" customHeight="1" ht="17.25">
      <c r="A6" s="1"/>
      <c r="B6" s="7" t="s">
        <v>708</v>
      </c>
      <c r="C6" s="7" t="s">
        <v>708</v>
      </c>
      <c r="D6" s="7" t="s">
        <v>708</v>
      </c>
      <c r="E6" s="8">
        <f>0</f>
      </c>
      <c r="F6" s="8">
        <f>0</f>
      </c>
    </row>
    <row x14ac:dyDescent="0.25" r="7" customHeight="1" ht="17.25">
      <c r="A7" s="1"/>
      <c r="B7" s="7" t="s">
        <v>709</v>
      </c>
      <c r="C7" s="7" t="s">
        <v>710</v>
      </c>
      <c r="D7" s="7" t="s">
        <v>22</v>
      </c>
      <c r="E7" s="8">
        <f>SQRT(0^2 + 0^2 + 0^2 + 0^2)</f>
      </c>
      <c r="F7" s="8">
        <f>SQRT(1^2 + 1^2 + 1^2 + 1^2)</f>
      </c>
    </row>
    <row x14ac:dyDescent="0.25" r="8" customHeight="1" ht="17.25">
      <c r="A8" s="1"/>
      <c r="B8" s="7" t="s">
        <v>711</v>
      </c>
      <c r="C8" s="7" t="s">
        <v>711</v>
      </c>
      <c r="D8" s="7" t="s">
        <v>22</v>
      </c>
      <c r="E8" s="8">
        <f>SQRT(0^2 + 0^2 + 0^2 + 0^2)</f>
      </c>
      <c r="F8" s="8">
        <f>SQRT(1^2 + 1^2 + 1^2 + 1^2)</f>
      </c>
    </row>
    <row x14ac:dyDescent="0.25" r="9" customHeight="1" ht="17.25">
      <c r="A9" s="1"/>
      <c r="B9" s="7" t="s">
        <v>22</v>
      </c>
      <c r="C9" s="7" t="s">
        <v>22</v>
      </c>
      <c r="D9" s="7" t="s">
        <v>712</v>
      </c>
      <c r="E9" s="4" t="s">
        <v>22</v>
      </c>
      <c r="F9" s="10">
        <f>SQRT(1^2 + 1^2 + 1^2 + 1^2 + 0.5^2 + 1^2)</f>
      </c>
    </row>
    <row x14ac:dyDescent="0.25" r="10" customHeight="1" ht="17.25">
      <c r="A10" s="1"/>
      <c r="B10" s="7" t="s">
        <v>22</v>
      </c>
      <c r="C10" s="7" t="s">
        <v>22</v>
      </c>
      <c r="D10" s="7" t="s">
        <v>713</v>
      </c>
      <c r="E10" s="4" t="s">
        <v>22</v>
      </c>
      <c r="F10" s="10">
        <f>SQRT(1^2 + 1^2 + 1^2 + 1^2 + 0.5^2 + 1^2)</f>
      </c>
    </row>
    <row x14ac:dyDescent="0.25" r="11" customHeight="1" ht="17.25">
      <c r="A11" s="1"/>
      <c r="B11" s="7" t="s">
        <v>290</v>
      </c>
      <c r="C11" s="7" t="s">
        <v>290</v>
      </c>
      <c r="D11" s="7" t="s">
        <v>714</v>
      </c>
      <c r="E11" s="8">
        <f>0</f>
      </c>
      <c r="F11" s="8">
        <f>0</f>
      </c>
    </row>
    <row x14ac:dyDescent="0.25" r="12" customHeight="1" ht="17.25">
      <c r="A12" s="1"/>
      <c r="B12" s="7" t="s">
        <v>715</v>
      </c>
      <c r="C12" s="7" t="s">
        <v>715</v>
      </c>
      <c r="D12" s="7" t="s">
        <v>716</v>
      </c>
      <c r="E12" s="8">
        <f>SQRT(0^2 + 0^2 + 0^2 + 0^2)</f>
      </c>
      <c r="F12" s="8">
        <f>SQRT(0^2 + 0^2 + 0^2 + 0^2)</f>
      </c>
    </row>
    <row x14ac:dyDescent="0.25" r="13" customHeight="1" ht="17.25">
      <c r="A13" s="1"/>
      <c r="B13" s="7" t="s">
        <v>717</v>
      </c>
      <c r="C13" s="7" t="s">
        <v>717</v>
      </c>
      <c r="D13" s="7" t="s">
        <v>718</v>
      </c>
      <c r="E13" s="8">
        <f>SQRT(0^2 + 0^2 + 0^2 + 0^2)</f>
      </c>
      <c r="F13" s="8">
        <f>SQRT(0^2 + 0^2 + 1^2 + 0^2)</f>
      </c>
    </row>
    <row x14ac:dyDescent="0.25" r="14" customHeight="1" ht="17.25">
      <c r="A14" s="1"/>
      <c r="B14" s="7" t="s">
        <v>719</v>
      </c>
      <c r="C14" s="7" t="s">
        <v>719</v>
      </c>
      <c r="D14" s="7" t="s">
        <v>720</v>
      </c>
      <c r="E14" s="8">
        <f>0</f>
      </c>
      <c r="F14" s="8">
        <f>0</f>
      </c>
    </row>
    <row x14ac:dyDescent="0.25" r="15" customHeight="1" ht="15">
      <c r="A15" s="1"/>
      <c r="B15" s="7" t="s">
        <v>721</v>
      </c>
      <c r="C15" s="7" t="s">
        <v>721</v>
      </c>
      <c r="D15" s="7" t="s">
        <v>722</v>
      </c>
      <c r="E15" s="8">
        <f>SQRT(0^2 + 0^2 + 0^2 + 0^2 + 0^2 + 0^2)</f>
      </c>
      <c r="F15" s="8">
        <f>SQRT(0^2 + 0^2 + 0^2 + 1^2 + 0^2 + 0^2)</f>
      </c>
    </row>
    <row x14ac:dyDescent="0.25" r="16" customHeight="1" ht="17.25">
      <c r="A16" s="1"/>
      <c r="B16" s="7" t="s">
        <v>723</v>
      </c>
      <c r="C16" s="7" t="s">
        <v>723</v>
      </c>
      <c r="D16" s="7" t="s">
        <v>724</v>
      </c>
      <c r="E16" s="8">
        <f>SQRT(0^2 + 0^2 + 0^2 + 0^2 + 0^2 + 0^2)</f>
      </c>
      <c r="F16" s="8">
        <f>SQRT(0^2 + 0^2 + 0^2 + 0^2 + 0^2 + 0^2)</f>
      </c>
    </row>
    <row x14ac:dyDescent="0.25" r="17" customHeight="1" ht="17.25">
      <c r="A17" s="1"/>
      <c r="B17" s="7" t="s">
        <v>725</v>
      </c>
      <c r="C17" s="7" t="s">
        <v>725</v>
      </c>
      <c r="D17" s="7" t="s">
        <v>726</v>
      </c>
      <c r="E17" s="8">
        <f>SQRT(0^2 + 0^2 + 0^2 + 0^2 + 0^2 + 0^2)</f>
      </c>
      <c r="F17" s="8">
        <f>SQRT(0^2 + 0^2 + 0^2 + 0^2 + 0^2 + 0^2)</f>
      </c>
    </row>
    <row x14ac:dyDescent="0.25" r="18" customHeight="1" ht="17.25">
      <c r="A18" s="1"/>
      <c r="B18" s="7" t="s">
        <v>46</v>
      </c>
      <c r="C18" s="7" t="s">
        <v>46</v>
      </c>
      <c r="D18" s="7" t="s">
        <v>46</v>
      </c>
      <c r="E18" s="8">
        <f>0</f>
      </c>
      <c r="F18" s="8">
        <f>0</f>
      </c>
    </row>
    <row x14ac:dyDescent="0.25" r="19" customHeight="1" ht="17.25">
      <c r="A19" s="1"/>
      <c r="B19" s="7" t="s">
        <v>727</v>
      </c>
      <c r="C19" s="7" t="s">
        <v>727</v>
      </c>
      <c r="D19" s="7" t="s">
        <v>728</v>
      </c>
      <c r="E19" s="8">
        <f>SQRT(0^2 + 0^2 + 0^2 + 0^2)</f>
      </c>
      <c r="F19" s="8">
        <f>SQRT(0^2 + 0^2 + 0^2 + 0^2)</f>
      </c>
    </row>
    <row x14ac:dyDescent="0.25" r="20" customHeight="1" ht="17.25">
      <c r="A20" s="1"/>
      <c r="B20" s="7" t="s">
        <v>729</v>
      </c>
      <c r="C20" s="7" t="s">
        <v>729</v>
      </c>
      <c r="D20" s="7" t="s">
        <v>730</v>
      </c>
      <c r="E20" s="8">
        <f>SQRT(0^2 + 0^2 + 0^2 + 0^2)</f>
      </c>
      <c r="F20" s="8">
        <f>SQRT(0^2 + 0^2 + 0^2 + 0^2)</f>
      </c>
    </row>
    <row x14ac:dyDescent="0.25" r="21" customHeight="1" ht="17.25">
      <c r="A21" s="1"/>
      <c r="B21" s="7" t="s">
        <v>731</v>
      </c>
      <c r="C21" s="7" t="s">
        <v>731</v>
      </c>
      <c r="D21" s="7" t="s">
        <v>731</v>
      </c>
      <c r="E21" s="8">
        <f>0</f>
      </c>
      <c r="F21" s="8">
        <f>0</f>
      </c>
    </row>
    <row x14ac:dyDescent="0.25" r="22" customHeight="1" ht="17.25">
      <c r="A22" s="1"/>
      <c r="B22" s="7" t="s">
        <v>732</v>
      </c>
      <c r="C22" s="7" t="s">
        <v>732</v>
      </c>
      <c r="D22" s="7" t="s">
        <v>733</v>
      </c>
      <c r="E22" s="8">
        <f>SQRT(0^2 + 0^2 + 0^2 + 0^2)</f>
      </c>
      <c r="F22" s="8">
        <f>SQRT(0^2 + 0^2 + 1^2 + 0^2)</f>
      </c>
    </row>
    <row x14ac:dyDescent="0.25" r="23" customHeight="1" ht="17.25">
      <c r="A23" s="1"/>
      <c r="B23" s="7" t="s">
        <v>22</v>
      </c>
      <c r="C23" s="7" t="s">
        <v>22</v>
      </c>
      <c r="D23" s="7" t="s">
        <v>734</v>
      </c>
      <c r="E23" s="8">
        <f>SQRT(0^2 + 0^2 + 0^2 + 0^2)</f>
      </c>
      <c r="F23" s="8">
        <f>SQRT(1^2 + 1^2 + 1^2 + 1^2)</f>
      </c>
    </row>
    <row x14ac:dyDescent="0.25" r="24" customHeight="1" ht="17.25">
      <c r="A24" s="1"/>
      <c r="B24" s="7" t="s">
        <v>735</v>
      </c>
      <c r="C24" s="7" t="s">
        <v>22</v>
      </c>
      <c r="D24" s="7" t="s">
        <v>22</v>
      </c>
      <c r="E24" s="8">
        <f>SQRT(1^2 + 1^2 + 1^2 + 1^2)</f>
      </c>
      <c r="F24" s="8">
        <f>SQRT(1^2 + 1^2 + 1^2 + 1^2)</f>
      </c>
    </row>
    <row x14ac:dyDescent="0.25" r="25" customHeight="1" ht="17.25">
      <c r="A25" s="1"/>
      <c r="B25" s="7" t="s">
        <v>736</v>
      </c>
      <c r="C25" s="7" t="s">
        <v>736</v>
      </c>
      <c r="D25" s="7" t="s">
        <v>22</v>
      </c>
      <c r="E25" s="8">
        <f>0</f>
      </c>
      <c r="F25" s="8">
        <f>SQRT(1^2 + 1^2 + 1^2 + 1^2)</f>
      </c>
    </row>
    <row x14ac:dyDescent="0.25" r="26" customHeight="1" ht="17.25">
      <c r="A26" s="1"/>
      <c r="B26" s="7" t="s">
        <v>737</v>
      </c>
      <c r="C26" s="7" t="s">
        <v>738</v>
      </c>
      <c r="D26" s="7" t="s">
        <v>22</v>
      </c>
      <c r="E26" s="8">
        <f>SQRT(0^2 + 0^2 + 0^2 + 0^2)</f>
      </c>
      <c r="F26" s="8">
        <f>SQRT(1^2 + 1^2 + 1^2 + 1^2)</f>
      </c>
    </row>
    <row x14ac:dyDescent="0.25" r="27" customHeight="1" ht="17.25">
      <c r="A27" s="1"/>
      <c r="B27" s="7" t="s">
        <v>739</v>
      </c>
      <c r="C27" s="7" t="s">
        <v>740</v>
      </c>
      <c r="D27" s="7" t="s">
        <v>22</v>
      </c>
      <c r="E27" s="8">
        <f>SQRT(0^2 + 0^2 + 0^2 + 0^2)</f>
      </c>
      <c r="F27" s="8">
        <f>SQRT(1^2 + 1^2 + 1^2 + 1^2)</f>
      </c>
    </row>
    <row x14ac:dyDescent="0.25" r="28" customHeight="1" ht="17.25">
      <c r="A28" s="1"/>
      <c r="B28" s="7" t="s">
        <v>741</v>
      </c>
      <c r="C28" s="7" t="s">
        <v>741</v>
      </c>
      <c r="D28" s="7" t="s">
        <v>22</v>
      </c>
      <c r="E28" s="8">
        <f>0</f>
      </c>
      <c r="F28" s="8">
        <f>SQRT(1^2 + 1^2 + 1^2 + 1^2)</f>
      </c>
    </row>
    <row x14ac:dyDescent="0.25" r="29" customHeight="1" ht="17.25">
      <c r="A29" s="1"/>
      <c r="B29" s="7" t="s">
        <v>742</v>
      </c>
      <c r="C29" s="7" t="s">
        <v>743</v>
      </c>
      <c r="D29" s="7" t="s">
        <v>22</v>
      </c>
      <c r="E29" s="8">
        <f>SQRT(0^2 + 0^2 + 0^2 + 0^2)</f>
      </c>
      <c r="F29" s="8">
        <f>SQRT(1^2 + 1^2 + 1^2 + 1^2)</f>
      </c>
    </row>
    <row x14ac:dyDescent="0.25" r="30" customHeight="1" ht="17.25">
      <c r="A30" s="1"/>
      <c r="B30" s="7" t="s">
        <v>744</v>
      </c>
      <c r="C30" s="7" t="s">
        <v>744</v>
      </c>
      <c r="D30" s="7" t="s">
        <v>22</v>
      </c>
      <c r="E30" s="8">
        <f>SQRT(0^2 + 0^2 + 0^2 + 0^2)</f>
      </c>
      <c r="F30" s="8">
        <f>SQRT(1^2 + 1^2 + 1^2 + 1^2)</f>
      </c>
    </row>
    <row x14ac:dyDescent="0.25" r="31" customHeight="1" ht="17.25">
      <c r="A31" s="1"/>
      <c r="B31" s="7" t="s">
        <v>745</v>
      </c>
      <c r="C31" s="7" t="s">
        <v>746</v>
      </c>
      <c r="D31" s="7" t="s">
        <v>22</v>
      </c>
      <c r="E31" s="8">
        <f>SQRT(0^2 + 0^2 + 0^2 + 0^2)</f>
      </c>
      <c r="F31" s="8">
        <f>SQRT(1^2 + 1^2 + 1^2 + 1^2)</f>
      </c>
    </row>
    <row x14ac:dyDescent="0.25" r="32" customHeight="1" ht="17.25">
      <c r="A32" s="1"/>
      <c r="B32" s="7" t="s">
        <v>747</v>
      </c>
      <c r="C32" s="7" t="s">
        <v>747</v>
      </c>
      <c r="D32" s="7" t="s">
        <v>747</v>
      </c>
      <c r="E32" s="8">
        <f>SQRT(0^2 + 0^2 + 0^2 + 0^2)</f>
      </c>
      <c r="F32" s="8">
        <f>SQRT(0^2 + 0^2 + 0^2 + 0^2)</f>
      </c>
    </row>
    <row x14ac:dyDescent="0.25" r="33" customHeight="1" ht="17.25">
      <c r="A33" s="1"/>
      <c r="B33" s="7" t="s">
        <v>748</v>
      </c>
      <c r="C33" s="7" t="s">
        <v>748</v>
      </c>
      <c r="D33" s="7" t="s">
        <v>22</v>
      </c>
      <c r="E33" s="8">
        <f>SQRT(0^2 + 0^2 + 0^2 + 0^2)</f>
      </c>
      <c r="F33" s="8">
        <f>SQRT(1^2 + 1^2 + 1^2 + 1^2)</f>
      </c>
    </row>
    <row x14ac:dyDescent="0.25" r="34" customHeight="1" ht="17.25">
      <c r="A34" s="1"/>
      <c r="B34" s="7" t="s">
        <v>749</v>
      </c>
      <c r="C34" s="7" t="s">
        <v>749</v>
      </c>
      <c r="D34" s="7" t="s">
        <v>22</v>
      </c>
      <c r="E34" s="8">
        <f>SQRT(0^2 + 0^2 + 0^2 + 0^2)</f>
      </c>
      <c r="F34" s="8">
        <f>SQRT(1^2 + 1^2 + 1^2 + 1^2)</f>
      </c>
    </row>
    <row x14ac:dyDescent="0.25" r="35" customHeight="1" ht="17.25">
      <c r="A35" s="1"/>
      <c r="B35" s="7" t="s">
        <v>750</v>
      </c>
      <c r="C35" s="7" t="s">
        <v>750</v>
      </c>
      <c r="D35" s="7" t="s">
        <v>751</v>
      </c>
      <c r="E35" s="8">
        <f>SQRT(0^2 + 0^2 + 0^2 + 0^2)</f>
      </c>
      <c r="F35" s="8">
        <f>SQRT(0^2 + 0^2 + 0^2 + 0^2)</f>
      </c>
    </row>
    <row x14ac:dyDescent="0.25" r="36" customHeight="1" ht="17.25">
      <c r="A36" s="1"/>
      <c r="B36" s="7" t="s">
        <v>752</v>
      </c>
      <c r="C36" s="7" t="s">
        <v>752</v>
      </c>
      <c r="D36" s="7" t="s">
        <v>753</v>
      </c>
      <c r="E36" s="8">
        <f>SQRT(0^2 + 0^2 + 0^2 + 0^2)</f>
      </c>
      <c r="F36" s="8">
        <f>SQRT(0^2 + 0^2 + 1^2 + 0^2)</f>
      </c>
    </row>
    <row x14ac:dyDescent="0.25" r="37" customHeight="1" ht="17.25">
      <c r="A37" s="1"/>
      <c r="B37" s="7" t="s">
        <v>754</v>
      </c>
      <c r="C37" s="7" t="s">
        <v>754</v>
      </c>
      <c r="D37" s="7" t="s">
        <v>755</v>
      </c>
      <c r="E37" s="8">
        <f>SQRT(0^2 + 0^2 + 0^2 + 0^2)</f>
      </c>
      <c r="F37" s="8">
        <f>SQRT(0^2 + 0^2 + 0^2 + 0^2)</f>
      </c>
    </row>
    <row x14ac:dyDescent="0.25" r="38" customHeight="1" ht="17.25">
      <c r="A38" s="1"/>
      <c r="B38" s="7" t="s">
        <v>756</v>
      </c>
      <c r="C38" s="7" t="s">
        <v>756</v>
      </c>
      <c r="D38" s="7" t="s">
        <v>22</v>
      </c>
      <c r="E38" s="8">
        <f>SQRT(0^2 + 0^2 + 0^2 + 0^2)</f>
      </c>
      <c r="F38" s="8">
        <f>SQRT(1^2 + 1^2 + 1^2 + 1^2)</f>
      </c>
    </row>
    <row x14ac:dyDescent="0.25" r="39" customHeight="1" ht="17.25">
      <c r="A39" s="1"/>
      <c r="B39" s="7" t="s">
        <v>757</v>
      </c>
      <c r="C39" s="7" t="s">
        <v>757</v>
      </c>
      <c r="D39" s="7" t="s">
        <v>22</v>
      </c>
      <c r="E39" s="8">
        <f>SQRT(0^2 + 0^2 + 0^2 + 0^2)</f>
      </c>
      <c r="F39" s="8">
        <f>SQRT(1^2 + 1^2 + 1^2 + 1^2)</f>
      </c>
    </row>
    <row x14ac:dyDescent="0.25" r="40" customHeight="1" ht="17.25">
      <c r="A40" s="1"/>
      <c r="B40" s="7" t="s">
        <v>758</v>
      </c>
      <c r="C40" s="7" t="s">
        <v>758</v>
      </c>
      <c r="D40" s="7" t="s">
        <v>22</v>
      </c>
      <c r="E40" s="8">
        <f>SQRT(0^2 + 0^2 + 0^2 + 0^2)</f>
      </c>
      <c r="F40" s="8">
        <f>SQRT(1^2 + 1^2 + 1^2 + 1^2)</f>
      </c>
    </row>
    <row x14ac:dyDescent="0.25" r="41" customHeight="1" ht="17.25">
      <c r="A41" s="1"/>
      <c r="B41" s="7" t="s">
        <v>759</v>
      </c>
      <c r="C41" s="7" t="s">
        <v>759</v>
      </c>
      <c r="D41" s="7" t="s">
        <v>22</v>
      </c>
      <c r="E41" s="8">
        <f>SQRT(0^2 + 0^2 + 0^2 + 0^2)</f>
      </c>
      <c r="F41" s="8">
        <f>SQRT(1^2 + 1^2 + 1^2 + 1^2)</f>
      </c>
    </row>
    <row x14ac:dyDescent="0.25" r="42" customHeight="1" ht="17.25">
      <c r="A42" s="1"/>
      <c r="B42" s="7" t="s">
        <v>760</v>
      </c>
      <c r="C42" s="7" t="s">
        <v>760</v>
      </c>
      <c r="D42" s="7" t="s">
        <v>22</v>
      </c>
      <c r="E42" s="8">
        <f>SQRT(0^2 + 0^2 + 0^2 + 0^2)</f>
      </c>
      <c r="F42" s="8">
        <f>SQRT(1^2 + 1^2 + 1^2 + 1^2)</f>
      </c>
    </row>
    <row x14ac:dyDescent="0.25" r="43" customHeight="1" ht="17.25">
      <c r="A43" s="1"/>
      <c r="B43" s="7" t="s">
        <v>22</v>
      </c>
      <c r="C43" s="7" t="s">
        <v>22</v>
      </c>
      <c r="D43" s="7" t="s">
        <v>761</v>
      </c>
      <c r="E43" s="8">
        <f>SQRT(0^2 + 0^2 + 0^2 + 0^2)</f>
      </c>
      <c r="F43" s="8">
        <f>SQRT(1^2 + 1^2 + 1^2 + 1^2)</f>
      </c>
    </row>
    <row x14ac:dyDescent="0.25" r="44" customHeight="1" ht="17.25">
      <c r="A44" s="1"/>
      <c r="B44" s="7" t="s">
        <v>22</v>
      </c>
      <c r="C44" s="7" t="s">
        <v>22</v>
      </c>
      <c r="D44" s="7" t="s">
        <v>762</v>
      </c>
      <c r="E44" s="8">
        <f>SQRT(0^2 + 0^2 + 0^2 + 0^2)</f>
      </c>
      <c r="F44" s="8">
        <f>SQRT(1^2 + 1^2 + 1^2 + 1^2)</f>
      </c>
    </row>
    <row x14ac:dyDescent="0.25" r="45" customHeight="1" ht="17.25">
      <c r="A45" s="1"/>
      <c r="B45" s="7" t="s">
        <v>22</v>
      </c>
      <c r="C45" s="7" t="s">
        <v>22</v>
      </c>
      <c r="D45" s="7" t="s">
        <v>763</v>
      </c>
      <c r="E45" s="8">
        <f>SQRT(0^2 + 0^2 + 0^2 + 0^2)</f>
      </c>
      <c r="F45" s="8">
        <f>SQRT(1^2 + 1^2 + 1^2 + 1^2)</f>
      </c>
    </row>
    <row x14ac:dyDescent="0.25" r="46" customHeight="1" ht="17.25">
      <c r="A46" s="1"/>
      <c r="B46" s="1"/>
      <c r="C46" s="1"/>
      <c r="D46" s="19"/>
      <c r="E46" s="2"/>
      <c r="F46" s="3"/>
    </row>
    <row x14ac:dyDescent="0.25" r="47" customHeight="1" ht="17.25">
      <c r="A47" s="1"/>
      <c r="B47" s="1"/>
      <c r="C47" s="1"/>
      <c r="D47" s="19"/>
      <c r="E47" s="2"/>
      <c r="F47" s="3"/>
    </row>
    <row x14ac:dyDescent="0.25" r="48" customHeight="1" ht="17.25">
      <c r="A48" s="1"/>
      <c r="B48" s="1"/>
      <c r="C48" s="1"/>
      <c r="D48" s="7" t="s">
        <v>82</v>
      </c>
      <c r="E48" s="8">
        <f>SQRT(SUMSQ(E3:E45))</f>
      </c>
      <c r="F48" s="10">
        <f>SQRT(SUMSQ(F3:F45))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3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7.290714285714284" customWidth="1" bestFit="1"/>
    <col min="3" max="3" style="11" width="28.14785714285714" customWidth="1" bestFit="1"/>
    <col min="4" max="4" style="20" width="23.7192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659</v>
      </c>
      <c r="C3" s="7" t="s">
        <v>659</v>
      </c>
      <c r="D3" s="7" t="s">
        <v>659</v>
      </c>
      <c r="E3" s="8">
        <f>0</f>
      </c>
      <c r="F3" s="8">
        <f>0</f>
      </c>
    </row>
    <row x14ac:dyDescent="0.25" r="4" customHeight="1" ht="17.25">
      <c r="A4" s="1"/>
      <c r="B4" s="7" t="s">
        <v>660</v>
      </c>
      <c r="C4" s="7" t="s">
        <v>660</v>
      </c>
      <c r="D4" s="7" t="s">
        <v>660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661</v>
      </c>
      <c r="C5" s="7" t="s">
        <v>22</v>
      </c>
      <c r="D5" s="7" t="s">
        <v>22</v>
      </c>
      <c r="E5" s="8">
        <f>SQRT(1^2 + 1^2 + 1^2 + 1^2)</f>
      </c>
      <c r="F5" s="8">
        <f>SQRT(1^2 + 1^2 + 1^2 + 1^2)</f>
      </c>
    </row>
    <row x14ac:dyDescent="0.25" r="6" customHeight="1" ht="17.25">
      <c r="A6" s="1"/>
      <c r="B6" s="7" t="s">
        <v>662</v>
      </c>
      <c r="C6" s="7" t="s">
        <v>662</v>
      </c>
      <c r="D6" s="7" t="s">
        <v>662</v>
      </c>
      <c r="E6" s="8">
        <f>0</f>
      </c>
      <c r="F6" s="8">
        <f>0</f>
      </c>
    </row>
    <row x14ac:dyDescent="0.25" r="7" customHeight="1" ht="17.25">
      <c r="A7" s="1"/>
      <c r="B7" s="7" t="s">
        <v>663</v>
      </c>
      <c r="C7" s="7" t="s">
        <v>664</v>
      </c>
      <c r="D7" s="7" t="s">
        <v>22</v>
      </c>
      <c r="E7" s="8">
        <f>SQRT(0^2 + 0^2 + 1^2 + 0^2)</f>
      </c>
      <c r="F7" s="8">
        <f>SQRT(1^2 + 1^2 + 1^2 + 1^2)</f>
      </c>
    </row>
    <row x14ac:dyDescent="0.25" r="8" customHeight="1" ht="17.25">
      <c r="A8" s="1"/>
      <c r="B8" s="7" t="s">
        <v>665</v>
      </c>
      <c r="C8" s="7" t="s">
        <v>666</v>
      </c>
      <c r="D8" s="7" t="s">
        <v>666</v>
      </c>
      <c r="E8" s="8">
        <f>SQRT(0^2 + 0^2 + 1^2 + 0^2)</f>
      </c>
      <c r="F8" s="8">
        <f>SQRT(0^2 + 0^2 + 1^2 + 0^2)</f>
      </c>
    </row>
    <row x14ac:dyDescent="0.25" r="9" customHeight="1" ht="17.25">
      <c r="A9" s="1"/>
      <c r="B9" s="7" t="s">
        <v>667</v>
      </c>
      <c r="C9" s="7" t="s">
        <v>667</v>
      </c>
      <c r="D9" s="7" t="s">
        <v>668</v>
      </c>
      <c r="E9" s="8">
        <f>SQRT(0^2 + 0^2 + 0^2 + 0^2)</f>
      </c>
      <c r="F9" s="8">
        <f>SQRT(0^2 + 0^2 + 1^2 + 0^2)</f>
      </c>
    </row>
    <row x14ac:dyDescent="0.25" r="10" customHeight="1" ht="17.25">
      <c r="A10" s="1"/>
      <c r="B10" s="7" t="s">
        <v>22</v>
      </c>
      <c r="C10" s="7" t="s">
        <v>22</v>
      </c>
      <c r="D10" s="7" t="s">
        <v>669</v>
      </c>
      <c r="E10" s="8">
        <f>SQRT(0^2 + 0^2 + 0^2 + 0^2)</f>
      </c>
      <c r="F10" s="8">
        <f>SQRT(1^2 + 1^2 + 1^2 + 1^2)</f>
      </c>
    </row>
    <row x14ac:dyDescent="0.25" r="11" customHeight="1" ht="17.25">
      <c r="A11" s="1"/>
      <c r="B11" s="7" t="s">
        <v>670</v>
      </c>
      <c r="C11" s="7" t="s">
        <v>670</v>
      </c>
      <c r="D11" s="7" t="s">
        <v>670</v>
      </c>
      <c r="E11" s="8">
        <f>0</f>
      </c>
      <c r="F11" s="8">
        <f>0</f>
      </c>
    </row>
    <row x14ac:dyDescent="0.25" r="12" customHeight="1" ht="17.25">
      <c r="A12" s="1"/>
      <c r="B12" s="7" t="s">
        <v>671</v>
      </c>
      <c r="C12" s="7" t="s">
        <v>671</v>
      </c>
      <c r="D12" s="7" t="s">
        <v>671</v>
      </c>
      <c r="E12" s="8">
        <f>SQRT(0^2 + 0^2 + 0^2 + 0^2)</f>
      </c>
      <c r="F12" s="8">
        <f>SQRT(0^2 + 0^2 + 0^2 + 0^2)</f>
      </c>
    </row>
    <row x14ac:dyDescent="0.25" r="13" customHeight="1" ht="17.25">
      <c r="A13" s="1"/>
      <c r="B13" s="7" t="s">
        <v>672</v>
      </c>
      <c r="C13" s="7" t="s">
        <v>672</v>
      </c>
      <c r="D13" s="7" t="s">
        <v>672</v>
      </c>
      <c r="E13" s="8">
        <f>SQRT(0^2 + 0^2 + 0^2 + 0^2)</f>
      </c>
      <c r="F13" s="8">
        <f>SQRT(0^2 + 0^2 + 0^2 + 0^2)</f>
      </c>
    </row>
    <row x14ac:dyDescent="0.25" r="14" customHeight="1" ht="17.25">
      <c r="A14" s="1"/>
      <c r="B14" s="7" t="s">
        <v>673</v>
      </c>
      <c r="C14" s="7" t="s">
        <v>673</v>
      </c>
      <c r="D14" s="7" t="s">
        <v>673</v>
      </c>
      <c r="E14" s="8">
        <f>SQRT(0^2 + 0^2 + 0^2 + 0^2)</f>
      </c>
      <c r="F14" s="8">
        <f>SQRT(0^2 + 0^2 + 0^2 + 0^2)</f>
      </c>
    </row>
    <row x14ac:dyDescent="0.25" r="15" customHeight="1" ht="17.25">
      <c r="A15" s="1"/>
      <c r="B15" s="7" t="s">
        <v>674</v>
      </c>
      <c r="C15" s="7" t="s">
        <v>674</v>
      </c>
      <c r="D15" s="7" t="s">
        <v>674</v>
      </c>
      <c r="E15" s="8">
        <f>0</f>
      </c>
      <c r="F15" s="8">
        <f>0</f>
      </c>
    </row>
    <row x14ac:dyDescent="0.25" r="16" customHeight="1" ht="17.25">
      <c r="A16" s="1"/>
      <c r="B16" s="7" t="s">
        <v>675</v>
      </c>
      <c r="C16" s="7" t="s">
        <v>676</v>
      </c>
      <c r="D16" s="7" t="s">
        <v>677</v>
      </c>
      <c r="E16" s="8">
        <f>SQRT(0^2 + 0^2 + 0^2 + 0^2)</f>
      </c>
      <c r="F16" s="8">
        <f>SQRT(0^2 + 0^2 + 1^2 + 0^2)</f>
      </c>
    </row>
    <row x14ac:dyDescent="0.25" r="17" customHeight="1" ht="17.25">
      <c r="A17" s="1"/>
      <c r="B17" s="7" t="s">
        <v>678</v>
      </c>
      <c r="C17" s="7" t="s">
        <v>22</v>
      </c>
      <c r="D17" s="7" t="s">
        <v>678</v>
      </c>
      <c r="E17" s="8">
        <f>SQRT(1^2 + 1^2 + 1^2 + 1^2)</f>
      </c>
      <c r="F17" s="8">
        <f>SQRT(0^2 + 0^2 + 0^2 + 0^2)</f>
      </c>
    </row>
    <row x14ac:dyDescent="0.25" r="18" customHeight="1" ht="17.25">
      <c r="A18" s="1"/>
      <c r="B18" s="7" t="s">
        <v>679</v>
      </c>
      <c r="C18" s="7" t="s">
        <v>680</v>
      </c>
      <c r="D18" s="7" t="s">
        <v>22</v>
      </c>
      <c r="E18" s="8">
        <f>0</f>
      </c>
      <c r="F18" s="8">
        <f>1</f>
      </c>
    </row>
    <row x14ac:dyDescent="0.25" r="19" customHeight="1" ht="17.25">
      <c r="A19" s="1"/>
      <c r="B19" s="7" t="s">
        <v>681</v>
      </c>
      <c r="C19" s="7" t="s">
        <v>682</v>
      </c>
      <c r="D19" s="7" t="s">
        <v>22</v>
      </c>
      <c r="E19" s="8">
        <f>SQRT(0^2 + 0^2 + 0^2 + 0^2)</f>
      </c>
      <c r="F19" s="8">
        <f>SQRT(1^2 + 1^2 + 1^2 + 1^2)</f>
      </c>
    </row>
    <row x14ac:dyDescent="0.25" r="20" customHeight="1" ht="17.25">
      <c r="A20" s="1"/>
      <c r="B20" s="7" t="s">
        <v>683</v>
      </c>
      <c r="C20" s="7" t="s">
        <v>683</v>
      </c>
      <c r="D20" s="7" t="s">
        <v>683</v>
      </c>
      <c r="E20" s="8">
        <f>0</f>
      </c>
      <c r="F20" s="8">
        <f>0</f>
      </c>
    </row>
    <row x14ac:dyDescent="0.25" r="21" customHeight="1" ht="17.25">
      <c r="A21" s="1"/>
      <c r="B21" s="7" t="s">
        <v>684</v>
      </c>
      <c r="C21" s="7" t="s">
        <v>684</v>
      </c>
      <c r="D21" s="7" t="s">
        <v>22</v>
      </c>
      <c r="E21" s="8">
        <f>SQRT(0^2 + 0^2 + 0^2 + 0^2)</f>
      </c>
      <c r="F21" s="8">
        <f>SQRT(1^2 + 1^2 + 1^2 + 1^2)</f>
      </c>
    </row>
    <row x14ac:dyDescent="0.25" r="22" customHeight="1" ht="17.25">
      <c r="A22" s="1"/>
      <c r="B22" s="7" t="s">
        <v>685</v>
      </c>
      <c r="C22" s="7" t="s">
        <v>22</v>
      </c>
      <c r="D22" s="7" t="s">
        <v>22</v>
      </c>
      <c r="E22" s="8">
        <f>1</f>
      </c>
      <c r="F22" s="8">
        <f>1</f>
      </c>
    </row>
    <row x14ac:dyDescent="0.25" r="23" customHeight="1" ht="17.25">
      <c r="A23" s="1"/>
      <c r="B23" s="7" t="s">
        <v>686</v>
      </c>
      <c r="C23" s="7" t="s">
        <v>22</v>
      </c>
      <c r="D23" s="7" t="s">
        <v>22</v>
      </c>
      <c r="E23" s="8">
        <f>1</f>
      </c>
      <c r="F23" s="8">
        <f>1</f>
      </c>
    </row>
    <row x14ac:dyDescent="0.25" r="24" customHeight="1" ht="17.25">
      <c r="A24" s="1"/>
      <c r="B24" s="7" t="s">
        <v>687</v>
      </c>
      <c r="C24" s="7" t="s">
        <v>22</v>
      </c>
      <c r="D24" s="7" t="s">
        <v>22</v>
      </c>
      <c r="E24" s="8">
        <f>1</f>
      </c>
      <c r="F24" s="8">
        <f>1</f>
      </c>
    </row>
    <row x14ac:dyDescent="0.25" r="25" customHeight="1" ht="17.25">
      <c r="A25" s="1"/>
      <c r="B25" s="7" t="s">
        <v>22</v>
      </c>
      <c r="C25" s="7" t="s">
        <v>22</v>
      </c>
      <c r="D25" s="7" t="s">
        <v>688</v>
      </c>
      <c r="E25" s="8">
        <f>0</f>
      </c>
      <c r="F25" s="8">
        <f>1</f>
      </c>
    </row>
    <row x14ac:dyDescent="0.25" r="26" customHeight="1" ht="17.25">
      <c r="A26" s="1"/>
      <c r="B26" s="7" t="s">
        <v>689</v>
      </c>
      <c r="C26" s="7" t="s">
        <v>689</v>
      </c>
      <c r="D26" s="7" t="s">
        <v>689</v>
      </c>
      <c r="E26" s="8">
        <f>SQRT(0^2 + 0^2 + 0^2 + 1^2)</f>
      </c>
      <c r="F26" s="8">
        <f>SQRT(0^2 + 0^2 + 0^2 + 0^2)</f>
      </c>
    </row>
    <row x14ac:dyDescent="0.25" r="27" customHeight="1" ht="17.25">
      <c r="A27" s="1"/>
      <c r="B27" s="7" t="s">
        <v>690</v>
      </c>
      <c r="C27" s="7" t="s">
        <v>690</v>
      </c>
      <c r="D27" s="7" t="s">
        <v>690</v>
      </c>
      <c r="E27" s="8">
        <f>SQRT(0^2 + 0^2 + 0^2 + 1^2)</f>
      </c>
      <c r="F27" s="8">
        <f>SQRT(0^2 + 0^2 + 0^2 + 0^2)</f>
      </c>
    </row>
    <row x14ac:dyDescent="0.25" r="28" customHeight="1" ht="17.25">
      <c r="A28" s="1"/>
      <c r="B28" s="7" t="s">
        <v>691</v>
      </c>
      <c r="C28" s="7" t="s">
        <v>22</v>
      </c>
      <c r="D28" s="7" t="s">
        <v>691</v>
      </c>
      <c r="E28" s="8">
        <f>SQRT(1^2 + 1^2 + 1^2 + 1^2)</f>
      </c>
      <c r="F28" s="8">
        <f>SQRT(0^2 + 0^2 + 0^2 + 0^2)</f>
      </c>
    </row>
    <row x14ac:dyDescent="0.25" r="29" customHeight="1" ht="17.25">
      <c r="A29" s="1"/>
      <c r="B29" s="7" t="s">
        <v>692</v>
      </c>
      <c r="C29" s="7" t="s">
        <v>692</v>
      </c>
      <c r="D29" s="7" t="s">
        <v>692</v>
      </c>
      <c r="E29" s="8">
        <f>SQRT(0^2 + 0^2 + 0^2 + 1^2)</f>
      </c>
      <c r="F29" s="8">
        <f>SQRT(0^2 + 0^2 + 0^2 + 1^2)</f>
      </c>
    </row>
    <row x14ac:dyDescent="0.25" r="30" customHeight="1" ht="17.25">
      <c r="A30" s="1"/>
      <c r="B30" s="7" t="s">
        <v>693</v>
      </c>
      <c r="C30" s="7" t="s">
        <v>693</v>
      </c>
      <c r="D30" s="7" t="s">
        <v>22</v>
      </c>
      <c r="E30" s="8">
        <f>SQRT(0^2 + 0^2 + 0^2 + 1^2)</f>
      </c>
      <c r="F30" s="8">
        <f>SQRT(1^2 + 1^2 + 1^2 + 1^2)</f>
      </c>
    </row>
    <row x14ac:dyDescent="0.25" r="31" customHeight="1" ht="17.25">
      <c r="A31" s="1"/>
      <c r="B31" s="7" t="s">
        <v>694</v>
      </c>
      <c r="C31" s="7" t="s">
        <v>694</v>
      </c>
      <c r="D31" s="7" t="s">
        <v>694</v>
      </c>
      <c r="E31" s="8">
        <f>SQRT(0^2 + 0^2 + 0^2 + 0^2)</f>
      </c>
      <c r="F31" s="8">
        <f>SQRT(0^2 + 0^2 + 0^2 + 1^2)</f>
      </c>
    </row>
    <row x14ac:dyDescent="0.25" r="32" customHeight="1" ht="17.25">
      <c r="A32" s="1"/>
      <c r="B32" s="7" t="s">
        <v>22</v>
      </c>
      <c r="C32" s="7" t="s">
        <v>22</v>
      </c>
      <c r="D32" s="7" t="s">
        <v>695</v>
      </c>
      <c r="E32" s="8">
        <f>SQRT(0^2 + 0^2 + 0^2 + 0^2)</f>
      </c>
      <c r="F32" s="8">
        <f>SQRT(1^2 + 1^2 + 1^2 + 1^2)</f>
      </c>
    </row>
    <row x14ac:dyDescent="0.25" r="33" customHeight="1" ht="17.25">
      <c r="A33" s="1"/>
      <c r="B33" s="7" t="s">
        <v>696</v>
      </c>
      <c r="C33" s="7" t="s">
        <v>697</v>
      </c>
      <c r="D33" s="7" t="s">
        <v>22</v>
      </c>
      <c r="E33" s="8">
        <f>SQRT(0^2 + 0^2 + 0^2 + 1^2)</f>
      </c>
      <c r="F33" s="8">
        <f>SQRT(1^2 + 1^2 + 1^2 + 1^2)</f>
      </c>
    </row>
    <row x14ac:dyDescent="0.25" r="34" customHeight="1" ht="17.25">
      <c r="A34" s="1"/>
      <c r="B34" s="7" t="s">
        <v>698</v>
      </c>
      <c r="C34" s="7" t="s">
        <v>22</v>
      </c>
      <c r="D34" s="7" t="s">
        <v>22</v>
      </c>
      <c r="E34" s="8">
        <f>SQRT(1^2 + 1^2 + 1^2 + 1^2)</f>
      </c>
      <c r="F34" s="8">
        <f>SQRT(1^2 + 1^2 + 1^2 + 1^2)</f>
      </c>
    </row>
    <row x14ac:dyDescent="0.25" r="35" customHeight="1" ht="17.25">
      <c r="A35" s="1"/>
      <c r="B35" s="7" t="s">
        <v>699</v>
      </c>
      <c r="C35" s="7" t="s">
        <v>700</v>
      </c>
      <c r="D35" s="7" t="s">
        <v>22</v>
      </c>
      <c r="E35" s="8">
        <f>SQRT(0^2 + 0^2 + 0^2 + 1^2)</f>
      </c>
      <c r="F35" s="8">
        <f>SQRT(1^2 + 1^2 + 1^2 + 1^2)</f>
      </c>
    </row>
    <row x14ac:dyDescent="0.25" r="36" customHeight="1" ht="17.25">
      <c r="A36" s="1"/>
      <c r="B36" s="7" t="s">
        <v>701</v>
      </c>
      <c r="C36" s="7" t="s">
        <v>22</v>
      </c>
      <c r="D36" s="7" t="s">
        <v>22</v>
      </c>
      <c r="E36" s="8">
        <f>SQRT(1^2 + 1^2 + 1^2 + 1^2)</f>
      </c>
      <c r="F36" s="8">
        <f>SQRT(1^2 + 1^2 + 1^2 + 1^2)</f>
      </c>
    </row>
    <row x14ac:dyDescent="0.25" r="37" customHeight="1" ht="17.25">
      <c r="A37" s="1"/>
      <c r="B37" s="7" t="s">
        <v>702</v>
      </c>
      <c r="C37" s="7" t="s">
        <v>22</v>
      </c>
      <c r="D37" s="7" t="s">
        <v>22</v>
      </c>
      <c r="E37" s="8">
        <f>SQRT(1^2 + 1^2 + 1^2 + 1^2)</f>
      </c>
      <c r="F37" s="8">
        <f>SQRT(1^2 + 1^2 + 1^2 + 1^2)</f>
      </c>
    </row>
    <row x14ac:dyDescent="0.25" r="38" customHeight="1" ht="17.25">
      <c r="A38" s="1"/>
      <c r="B38" s="7" t="s">
        <v>703</v>
      </c>
      <c r="C38" s="7" t="s">
        <v>22</v>
      </c>
      <c r="D38" s="7" t="s">
        <v>22</v>
      </c>
      <c r="E38" s="8">
        <f>SQRT(1^2 + 1^2 + 1^2 + 1^2)</f>
      </c>
      <c r="F38" s="8">
        <f>SQRT(1^2 + 1^2 + 1^2 + 1^2)</f>
      </c>
    </row>
    <row x14ac:dyDescent="0.25" r="39" customHeight="1" ht="17.25">
      <c r="A39" s="1"/>
      <c r="B39" s="7" t="s">
        <v>704</v>
      </c>
      <c r="C39" s="7" t="s">
        <v>22</v>
      </c>
      <c r="D39" s="7" t="s">
        <v>22</v>
      </c>
      <c r="E39" s="8">
        <f>SQRT(1^2 + 1^2 + 1^2 + 1^2)</f>
      </c>
      <c r="F39" s="8">
        <f>SQRT(1^2 + 1^2 + 1^2 + 1^2)</f>
      </c>
    </row>
    <row x14ac:dyDescent="0.25" r="40" customHeight="1" ht="17.25">
      <c r="A40" s="1"/>
      <c r="B40" s="7" t="s">
        <v>22</v>
      </c>
      <c r="C40" s="7" t="s">
        <v>22</v>
      </c>
      <c r="D40" s="7" t="s">
        <v>705</v>
      </c>
      <c r="E40" s="8">
        <f>SQRT(0^2 + 0^2 + 0^2 + 0^2)</f>
      </c>
      <c r="F40" s="8">
        <f>SQRT(1^2 + 1^2 + 1^2 + 1^2)</f>
      </c>
    </row>
    <row x14ac:dyDescent="0.25" r="41" customHeight="1" ht="17.25">
      <c r="A41" s="1"/>
      <c r="B41" s="1"/>
      <c r="C41" s="1"/>
      <c r="D41" s="19"/>
      <c r="E41" s="3"/>
      <c r="F41" s="3"/>
    </row>
    <row x14ac:dyDescent="0.25" r="42" customHeight="1" ht="17.25">
      <c r="A42" s="1"/>
      <c r="B42" s="1"/>
      <c r="C42" s="1"/>
      <c r="D42" s="19"/>
      <c r="E42" s="3"/>
      <c r="F42" s="3"/>
    </row>
    <row x14ac:dyDescent="0.25" r="43" customHeight="1" ht="17.25">
      <c r="A43" s="1"/>
      <c r="B43" s="1"/>
      <c r="C43" s="1"/>
      <c r="D43" s="7" t="s">
        <v>82</v>
      </c>
      <c r="E43" s="10">
        <f>SQRT(SUMSQ(E3:E40))</f>
      </c>
      <c r="F43" s="10">
        <f>SQRT(SUMSQ(F3:F40))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5.005" customWidth="1" bestFit="1"/>
    <col min="3" max="3" style="11" width="29.719285714285714" customWidth="1" bestFit="1"/>
    <col min="4" max="4" style="20" width="35.005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28</v>
      </c>
      <c r="C3" s="7" t="s">
        <v>28</v>
      </c>
      <c r="D3" s="7" t="s">
        <v>28</v>
      </c>
      <c r="E3" s="8">
        <f>0</f>
      </c>
      <c r="F3" s="8">
        <f>0</f>
      </c>
    </row>
    <row x14ac:dyDescent="0.25" r="4" customHeight="1" ht="17.25">
      <c r="A4" s="1"/>
      <c r="B4" s="7" t="s">
        <v>632</v>
      </c>
      <c r="C4" s="7" t="s">
        <v>632</v>
      </c>
      <c r="D4" s="7" t="s">
        <v>632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476</v>
      </c>
      <c r="C5" s="7" t="s">
        <v>476</v>
      </c>
      <c r="D5" s="7" t="s">
        <v>476</v>
      </c>
      <c r="E5" s="8">
        <f>SQRT(0^2 + 0^2 + 0^2 + 0^2)</f>
      </c>
      <c r="F5" s="8">
        <f>SQRT(0^2 + 0^2 + 0^2 + 0^2)</f>
      </c>
    </row>
    <row x14ac:dyDescent="0.25" r="6" customHeight="1" ht="17.25">
      <c r="A6" s="1"/>
      <c r="B6" s="7" t="s">
        <v>34</v>
      </c>
      <c r="C6" s="7" t="s">
        <v>34</v>
      </c>
      <c r="D6" s="7" t="s">
        <v>34</v>
      </c>
      <c r="E6" s="8">
        <f>0</f>
      </c>
      <c r="F6" s="8">
        <f>0</f>
      </c>
    </row>
    <row x14ac:dyDescent="0.25" r="7" customHeight="1" ht="17.25">
      <c r="A7" s="1"/>
      <c r="B7" s="7" t="s">
        <v>633</v>
      </c>
      <c r="C7" s="7" t="s">
        <v>634</v>
      </c>
      <c r="D7" s="7" t="s">
        <v>634</v>
      </c>
      <c r="E7" s="8">
        <f>SQRT(0^2 + 0^2 + 0^2 + 0^2)</f>
      </c>
      <c r="F7" s="8">
        <f>SQRT(0^2 + 0^2 + 0^2 + 0^2)</f>
      </c>
    </row>
    <row x14ac:dyDescent="0.25" r="8" customHeight="1" ht="17.25">
      <c r="A8" s="1"/>
      <c r="B8" s="7" t="s">
        <v>635</v>
      </c>
      <c r="C8" s="7" t="s">
        <v>636</v>
      </c>
      <c r="D8" s="7" t="s">
        <v>635</v>
      </c>
      <c r="E8" s="8">
        <f>0</f>
      </c>
      <c r="F8" s="8">
        <f>0</f>
      </c>
    </row>
    <row x14ac:dyDescent="0.25" r="9" customHeight="1" ht="17.25">
      <c r="A9" s="1"/>
      <c r="B9" s="7" t="s">
        <v>637</v>
      </c>
      <c r="C9" s="7" t="s">
        <v>638</v>
      </c>
      <c r="D9" s="7" t="s">
        <v>639</v>
      </c>
      <c r="E9" s="8">
        <f>0</f>
      </c>
      <c r="F9" s="8">
        <f>0</f>
      </c>
    </row>
    <row x14ac:dyDescent="0.25" r="10" customHeight="1" ht="17.25">
      <c r="A10" s="1"/>
      <c r="B10" s="7" t="s">
        <v>640</v>
      </c>
      <c r="C10" s="7" t="s">
        <v>641</v>
      </c>
      <c r="D10" s="7" t="s">
        <v>642</v>
      </c>
      <c r="E10" s="8">
        <f>SQRT(0^2 + 0^2 + 0^2 + 0^2)</f>
      </c>
      <c r="F10" s="8">
        <f>SQRT(0^2 + 0^2 + 0^2 + 0^2)</f>
      </c>
    </row>
    <row x14ac:dyDescent="0.25" r="11" customHeight="1" ht="17.25">
      <c r="A11" s="1"/>
      <c r="B11" s="7" t="s">
        <v>643</v>
      </c>
      <c r="C11" s="7" t="s">
        <v>643</v>
      </c>
      <c r="D11" s="7" t="s">
        <v>22</v>
      </c>
      <c r="E11" s="8">
        <f>0</f>
      </c>
      <c r="F11" s="8">
        <f>1</f>
      </c>
    </row>
    <row x14ac:dyDescent="0.25" r="12" customHeight="1" ht="17.25">
      <c r="A12" s="1"/>
      <c r="B12" s="7" t="s">
        <v>644</v>
      </c>
      <c r="C12" s="7" t="s">
        <v>22</v>
      </c>
      <c r="D12" s="7" t="s">
        <v>645</v>
      </c>
      <c r="E12" s="8">
        <f>SQRT(1^2 + 1^2 + 1^2 + 1^2)</f>
      </c>
      <c r="F12" s="8">
        <f>SQRT(1^2 + 0^2 + 0^2 + 0^2)</f>
      </c>
    </row>
    <row x14ac:dyDescent="0.25" r="13" customHeight="1" ht="17.25">
      <c r="A13" s="1"/>
      <c r="B13" s="7" t="s">
        <v>646</v>
      </c>
      <c r="C13" s="7" t="s">
        <v>646</v>
      </c>
      <c r="D13" s="7" t="s">
        <v>647</v>
      </c>
      <c r="E13" s="8">
        <f>SQRT(0^2 + 0^2 + 0^2 + 0^2)</f>
      </c>
      <c r="F13" s="8">
        <f>SQRT(1^2 + 0^2 + 0^2 + 0^2)</f>
      </c>
    </row>
    <row x14ac:dyDescent="0.25" r="14" customHeight="1" ht="17.25">
      <c r="A14" s="1"/>
      <c r="B14" s="7" t="s">
        <v>22</v>
      </c>
      <c r="C14" s="7" t="s">
        <v>648</v>
      </c>
      <c r="D14" s="7" t="s">
        <v>22</v>
      </c>
      <c r="E14" s="8">
        <f>SQRT(1^2 + 1^2 + 1^2 + 1^2)</f>
      </c>
      <c r="F14" s="8">
        <f>SQRT(0^2 + 0^2 + 0^2 + 0^2)</f>
      </c>
    </row>
    <row x14ac:dyDescent="0.25" r="15" customHeight="1" ht="17.25">
      <c r="A15" s="1"/>
      <c r="B15" s="7" t="s">
        <v>649</v>
      </c>
      <c r="C15" s="7" t="s">
        <v>649</v>
      </c>
      <c r="D15" s="7" t="s">
        <v>649</v>
      </c>
      <c r="E15" s="8">
        <f>0</f>
      </c>
      <c r="F15" s="8">
        <f>0</f>
      </c>
    </row>
    <row x14ac:dyDescent="0.25" r="16" customHeight="1" ht="17.25">
      <c r="A16" s="1"/>
      <c r="B16" s="7" t="s">
        <v>650</v>
      </c>
      <c r="C16" s="7" t="s">
        <v>650</v>
      </c>
      <c r="D16" s="7" t="s">
        <v>650</v>
      </c>
      <c r="E16" s="8">
        <f>SQRT(0^2 + 0^2 + 0^2 + 0^2)</f>
      </c>
      <c r="F16" s="8">
        <f>SQRT(0^2 + 0^2 + 0^2 + 0^2)</f>
      </c>
    </row>
    <row x14ac:dyDescent="0.25" r="17" customHeight="1" ht="17.25">
      <c r="A17" s="1"/>
      <c r="B17" s="7" t="s">
        <v>69</v>
      </c>
      <c r="C17" s="7" t="s">
        <v>69</v>
      </c>
      <c r="D17" s="7" t="s">
        <v>69</v>
      </c>
      <c r="E17" s="8">
        <f>SQRT(0^2 + 0^2 + 0^2 + 0^2)</f>
      </c>
      <c r="F17" s="8">
        <f>SQRT(0^2 + 0^2 + 0^2 + 0^2)</f>
      </c>
    </row>
    <row x14ac:dyDescent="0.25" r="18" customHeight="1" ht="17.25">
      <c r="A18" s="1"/>
      <c r="B18" s="7" t="s">
        <v>651</v>
      </c>
      <c r="C18" s="7" t="s">
        <v>652</v>
      </c>
      <c r="D18" s="7" t="s">
        <v>651</v>
      </c>
      <c r="E18" s="8">
        <f>SQRT(0^2 + 0^2 + 0^2 + 0^2)</f>
      </c>
      <c r="F18" s="8">
        <f>SQRT(0^2 + 0^2 + 0^2 + 0^2)</f>
      </c>
    </row>
    <row x14ac:dyDescent="0.25" r="19" customHeight="1" ht="17.25">
      <c r="A19" s="1"/>
      <c r="B19" s="7" t="s">
        <v>653</v>
      </c>
      <c r="C19" s="7" t="s">
        <v>654</v>
      </c>
      <c r="D19" s="7" t="s">
        <v>653</v>
      </c>
      <c r="E19" s="8">
        <f>SQRT(0^2 + 0^2 + 0^2 + 0^2)</f>
      </c>
      <c r="F19" s="8">
        <f>SQRT(0^2 + 0^2 + 0^2 + 0^2)</f>
      </c>
    </row>
    <row x14ac:dyDescent="0.25" r="20" customHeight="1" ht="17.25">
      <c r="A20" s="1"/>
      <c r="B20" s="7" t="s">
        <v>655</v>
      </c>
      <c r="C20" s="7" t="s">
        <v>656</v>
      </c>
      <c r="D20" s="7" t="s">
        <v>657</v>
      </c>
      <c r="E20" s="8">
        <f>SQRT(0^2 + 0^2 + 0^2 + 0^2)</f>
      </c>
      <c r="F20" s="8">
        <f>SQRT(0^2 + 1^2 + 0^2 + 0^2)</f>
      </c>
    </row>
    <row x14ac:dyDescent="0.25" r="21" customHeight="1" ht="17.25">
      <c r="A21" s="1"/>
      <c r="B21" s="7" t="s">
        <v>658</v>
      </c>
      <c r="C21" s="7" t="s">
        <v>658</v>
      </c>
      <c r="D21" s="7" t="s">
        <v>22</v>
      </c>
      <c r="E21" s="8">
        <f>SQRT(0^2 + 0^2 + 0^2 + 0^2)</f>
      </c>
      <c r="F21" s="8">
        <f>SQRT(1^2 + 1^2 + 1^2 + 1^2)</f>
      </c>
    </row>
    <row x14ac:dyDescent="0.25" r="22" customHeight="1" ht="17.25">
      <c r="A22" s="1"/>
      <c r="B22" s="1"/>
      <c r="C22" s="1"/>
      <c r="D22" s="19"/>
      <c r="E22" s="3"/>
      <c r="F22" s="3"/>
    </row>
    <row x14ac:dyDescent="0.25" r="23" customHeight="1" ht="17.25">
      <c r="A23" s="1"/>
      <c r="B23" s="1"/>
      <c r="C23" s="1"/>
      <c r="D23" s="19"/>
      <c r="E23" s="3"/>
      <c r="F23" s="3"/>
    </row>
    <row x14ac:dyDescent="0.25" r="24" customHeight="1" ht="17.25">
      <c r="A24" s="1"/>
      <c r="B24" s="1"/>
      <c r="C24" s="1"/>
      <c r="D24" s="7" t="s">
        <v>82</v>
      </c>
      <c r="E24" s="10">
        <f>SQRT(SUMSQ(E3:E21))</f>
      </c>
      <c r="F24" s="10">
        <f>SQRT(SUMSQ(F3:F21))</f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9.005" customWidth="1" bestFit="1"/>
    <col min="3" max="3" style="11" width="35.57642857142857" customWidth="1" bestFit="1"/>
    <col min="4" max="4" style="20" width="26.862142857142857" customWidth="1" bestFit="1"/>
    <col min="5" max="5" style="14" width="13.43357142857143" customWidth="1" bestFit="1"/>
    <col min="6" max="6" style="13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4" t="s">
        <v>16</v>
      </c>
    </row>
    <row x14ac:dyDescent="0.25" r="3" customHeight="1" ht="17.25">
      <c r="A3" s="1"/>
      <c r="B3" s="7" t="s">
        <v>602</v>
      </c>
      <c r="C3" s="7" t="s">
        <v>602</v>
      </c>
      <c r="D3" s="7" t="s">
        <v>602</v>
      </c>
      <c r="E3" s="8">
        <f>0</f>
      </c>
      <c r="F3" s="8">
        <f>0</f>
      </c>
    </row>
    <row x14ac:dyDescent="0.25" r="4" customHeight="1" ht="17.25">
      <c r="A4" s="1"/>
      <c r="B4" s="7" t="s">
        <v>603</v>
      </c>
      <c r="C4" s="7" t="s">
        <v>603</v>
      </c>
      <c r="D4" s="7" t="s">
        <v>603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604</v>
      </c>
      <c r="C5" s="7" t="s">
        <v>604</v>
      </c>
      <c r="D5" s="7" t="s">
        <v>604</v>
      </c>
      <c r="E5" s="8">
        <f>SQRT(0^2 + 0^2 + 0^2 + 0^2)</f>
      </c>
      <c r="F5" s="8">
        <f>SQRT(0^2 + 0^2 + 0^2 + 0^2)</f>
      </c>
    </row>
    <row x14ac:dyDescent="0.25" r="6" customHeight="1" ht="17.25">
      <c r="A6" s="1"/>
      <c r="B6" s="7" t="s">
        <v>546</v>
      </c>
      <c r="C6" s="7" t="s">
        <v>546</v>
      </c>
      <c r="D6" s="7" t="s">
        <v>546</v>
      </c>
      <c r="E6" s="8">
        <f>0</f>
      </c>
      <c r="F6" s="8">
        <f>0</f>
      </c>
    </row>
    <row x14ac:dyDescent="0.25" r="7" customHeight="1" ht="17.25">
      <c r="A7" s="1"/>
      <c r="B7" s="7" t="s">
        <v>605</v>
      </c>
      <c r="C7" s="7" t="s">
        <v>605</v>
      </c>
      <c r="D7" s="7" t="s">
        <v>605</v>
      </c>
      <c r="E7" s="8">
        <f>0</f>
      </c>
      <c r="F7" s="8">
        <f>0</f>
      </c>
    </row>
    <row x14ac:dyDescent="0.25" r="8" customHeight="1" ht="17.25">
      <c r="A8" s="1"/>
      <c r="B8" s="7" t="s">
        <v>110</v>
      </c>
      <c r="C8" s="7" t="s">
        <v>110</v>
      </c>
      <c r="D8" s="7" t="s">
        <v>110</v>
      </c>
      <c r="E8" s="8">
        <f>0</f>
      </c>
      <c r="F8" s="8">
        <f>0</f>
      </c>
    </row>
    <row x14ac:dyDescent="0.25" r="9" customHeight="1" ht="17.25">
      <c r="A9" s="1"/>
      <c r="B9" s="7" t="s">
        <v>606</v>
      </c>
      <c r="C9" s="7" t="s">
        <v>112</v>
      </c>
      <c r="D9" s="7" t="s">
        <v>607</v>
      </c>
      <c r="E9" s="8">
        <f>SQRT(0^2 + 0^2 + 1^2 + 0^2)</f>
      </c>
      <c r="F9" s="8">
        <f>SQRT(0^2 + 0^2 + 1^2 + 0^2)</f>
      </c>
    </row>
    <row x14ac:dyDescent="0.25" r="10" customHeight="1" ht="17.25">
      <c r="A10" s="1"/>
      <c r="B10" s="7" t="s">
        <v>608</v>
      </c>
      <c r="C10" s="7" t="s">
        <v>113</v>
      </c>
      <c r="D10" s="7" t="s">
        <v>22</v>
      </c>
      <c r="E10" s="8">
        <f>SQRT(0^2 + 0^2 + 1^2 + 0^2)</f>
      </c>
      <c r="F10" s="8">
        <f>SQRT(1^2 + 1^2 + 1^2 + 1^2)</f>
      </c>
    </row>
    <row x14ac:dyDescent="0.25" r="11" customHeight="1" ht="17.25">
      <c r="A11" s="1"/>
      <c r="B11" s="7" t="s">
        <v>609</v>
      </c>
      <c r="C11" s="7" t="s">
        <v>610</v>
      </c>
      <c r="D11" s="7" t="s">
        <v>610</v>
      </c>
      <c r="E11" s="10">
        <f>0.5</f>
      </c>
      <c r="F11" s="10">
        <f>0.5</f>
      </c>
    </row>
    <row x14ac:dyDescent="0.25" r="12" customHeight="1" ht="17.25">
      <c r="A12" s="1"/>
      <c r="B12" s="7" t="s">
        <v>611</v>
      </c>
      <c r="C12" s="7" t="s">
        <v>612</v>
      </c>
      <c r="D12" s="7" t="s">
        <v>612</v>
      </c>
      <c r="E12" s="8">
        <f>SQRT(0^2 + 0^2 + 0^2 + 0^2)</f>
      </c>
      <c r="F12" s="8">
        <f>SQRT(0^2 + 0^2 + 0^2 + 0^2)</f>
      </c>
    </row>
    <row x14ac:dyDescent="0.25" r="13" customHeight="1" ht="17.25">
      <c r="A13" s="1"/>
      <c r="B13" s="7" t="s">
        <v>613</v>
      </c>
      <c r="C13" s="7" t="s">
        <v>614</v>
      </c>
      <c r="D13" s="7" t="s">
        <v>614</v>
      </c>
      <c r="E13" s="8">
        <f>SQRT(0^2 + 0^2 + 0^2 + 0^2)</f>
      </c>
      <c r="F13" s="8">
        <f>SQRT(0^2 + 0^2 + 0^2 + 0^2)</f>
      </c>
    </row>
    <row x14ac:dyDescent="0.25" r="14" customHeight="1" ht="17.25">
      <c r="A14" s="1"/>
      <c r="B14" s="7" t="s">
        <v>615</v>
      </c>
      <c r="C14" s="7" t="s">
        <v>615</v>
      </c>
      <c r="D14" s="7" t="s">
        <v>615</v>
      </c>
      <c r="E14" s="8">
        <f>0</f>
      </c>
      <c r="F14" s="8">
        <f>0</f>
      </c>
    </row>
    <row x14ac:dyDescent="0.25" r="15" customHeight="1" ht="17.25">
      <c r="A15" s="1"/>
      <c r="B15" s="7" t="s">
        <v>616</v>
      </c>
      <c r="C15" s="7" t="s">
        <v>617</v>
      </c>
      <c r="D15" s="7" t="s">
        <v>616</v>
      </c>
      <c r="E15" s="8">
        <f>SQRT(0^2 + 0^2 + 1^2 + 0^2)</f>
      </c>
      <c r="F15" s="8">
        <f>SQRT(0^2 + 0^2 + 0^2 + 0^2)</f>
      </c>
    </row>
    <row x14ac:dyDescent="0.25" r="16" customHeight="1" ht="17.25">
      <c r="A16" s="1"/>
      <c r="B16" s="7" t="s">
        <v>184</v>
      </c>
      <c r="C16" s="7" t="s">
        <v>22</v>
      </c>
      <c r="D16" s="7" t="s">
        <v>22</v>
      </c>
      <c r="E16" s="8">
        <f>1</f>
      </c>
      <c r="F16" s="8">
        <v>1</v>
      </c>
    </row>
    <row x14ac:dyDescent="0.25" r="17" customHeight="1" ht="17.25">
      <c r="A17" s="1"/>
      <c r="B17" s="7" t="s">
        <v>539</v>
      </c>
      <c r="C17" s="7" t="s">
        <v>618</v>
      </c>
      <c r="D17" s="7" t="s">
        <v>618</v>
      </c>
      <c r="E17" s="8">
        <f>SQRT(0^2 + 0^2 + 0^2 + 0^2)</f>
      </c>
      <c r="F17" s="8">
        <f>SQRT(0^2 + 0^2 + 0^2 + 0^2)</f>
      </c>
    </row>
    <row x14ac:dyDescent="0.25" r="18" customHeight="1" ht="17.25">
      <c r="A18" s="1"/>
      <c r="B18" s="7" t="s">
        <v>185</v>
      </c>
      <c r="C18" s="7" t="s">
        <v>619</v>
      </c>
      <c r="D18" s="7" t="s">
        <v>619</v>
      </c>
      <c r="E18" s="8">
        <f>SQRT(0^2 + 0^2 + 0^2 + 0^2)</f>
      </c>
      <c r="F18" s="8">
        <f>SQRT(0^2 + 0^2 + 0^2 + 0^2)</f>
      </c>
    </row>
    <row x14ac:dyDescent="0.25" r="19" customHeight="1" ht="17.25">
      <c r="A19" s="1"/>
      <c r="B19" s="7" t="s">
        <v>384</v>
      </c>
      <c r="C19" s="7" t="s">
        <v>620</v>
      </c>
      <c r="D19" s="7" t="s">
        <v>620</v>
      </c>
      <c r="E19" s="8">
        <f>SQRT(0^2 + 0^2 + 0^2 + 0^2)</f>
      </c>
      <c r="F19" s="8">
        <f>SQRT(0^2 + 0^2 + 0^2 + 0^2)</f>
      </c>
    </row>
    <row x14ac:dyDescent="0.25" r="20" customHeight="1" ht="17.25">
      <c r="A20" s="1"/>
      <c r="B20" s="7" t="s">
        <v>473</v>
      </c>
      <c r="C20" s="7" t="s">
        <v>621</v>
      </c>
      <c r="D20" s="7" t="s">
        <v>621</v>
      </c>
      <c r="E20" s="8">
        <f>SQRT(0^2 + 0^2 + 1^2 + 0^2)</f>
      </c>
      <c r="F20" s="8">
        <f>SQRT(0^2 + 0^2 + 1^2 + 0^2)</f>
      </c>
    </row>
    <row x14ac:dyDescent="0.25" r="21" customHeight="1" ht="17.25">
      <c r="A21" s="1"/>
      <c r="B21" s="7" t="s">
        <v>622</v>
      </c>
      <c r="C21" s="7" t="s">
        <v>622</v>
      </c>
      <c r="D21" s="7" t="s">
        <v>622</v>
      </c>
      <c r="E21" s="8">
        <f>SQRT(0^2 + 0^2 + 0^2 + 0^2)</f>
      </c>
      <c r="F21" s="8">
        <f>SQRT(0^2 + 0^2 + 0^2 + 1^2)</f>
      </c>
    </row>
    <row x14ac:dyDescent="0.25" r="22" customHeight="1" ht="17.25">
      <c r="A22" s="1"/>
      <c r="B22" s="7" t="s">
        <v>623</v>
      </c>
      <c r="C22" s="7" t="s">
        <v>623</v>
      </c>
      <c r="D22" s="7" t="s">
        <v>623</v>
      </c>
      <c r="E22" s="8">
        <f>SQRT(0^2 + 0^2 + 0^2 + 0^2)</f>
      </c>
      <c r="F22" s="8">
        <f>SQRT(0^2 + 0^2 + 0^2 + 0^2)</f>
      </c>
    </row>
    <row x14ac:dyDescent="0.25" r="23" customHeight="1" ht="17.25">
      <c r="A23" s="1"/>
      <c r="B23" s="7" t="s">
        <v>624</v>
      </c>
      <c r="C23" s="7" t="s">
        <v>624</v>
      </c>
      <c r="D23" s="7" t="s">
        <v>624</v>
      </c>
      <c r="E23" s="8">
        <f>SQRT(0^2 + 0^2 + 0^2 + 0^2)</f>
      </c>
      <c r="F23" s="8">
        <f>SQRT(0^2 + 0^2 + 0^2 + 0^2)</f>
      </c>
    </row>
    <row x14ac:dyDescent="0.25" r="24" customHeight="1" ht="17.25">
      <c r="A24" s="1"/>
      <c r="B24" s="7" t="s">
        <v>625</v>
      </c>
      <c r="C24" s="7" t="s">
        <v>626</v>
      </c>
      <c r="D24" s="7" t="s">
        <v>22</v>
      </c>
      <c r="E24" s="8">
        <f>SQRT(0^2 + 0^2 + 0^2 + 0^2)</f>
      </c>
      <c r="F24" s="8">
        <f>SQRT(1^2 + 1^2 + 1^2 + 1^2)</f>
      </c>
    </row>
    <row x14ac:dyDescent="0.25" r="25" customHeight="1" ht="17.25">
      <c r="A25" s="1"/>
      <c r="B25" s="7" t="s">
        <v>627</v>
      </c>
      <c r="C25" s="7" t="s">
        <v>628</v>
      </c>
      <c r="D25" s="7" t="s">
        <v>628</v>
      </c>
      <c r="E25" s="8">
        <f>SQRT(0^2 + 0^2 + 0^2 + 0^2)</f>
      </c>
      <c r="F25" s="8">
        <f>SQRT(0^2 + 0^2 + 0^2 + 0^2)</f>
      </c>
    </row>
    <row x14ac:dyDescent="0.25" r="26" customHeight="1" ht="17.25">
      <c r="A26" s="1"/>
      <c r="B26" s="7" t="s">
        <v>629</v>
      </c>
      <c r="C26" s="7" t="s">
        <v>629</v>
      </c>
      <c r="D26" s="7" t="s">
        <v>629</v>
      </c>
      <c r="E26" s="8">
        <f>SQRT(0^2 + 0^2 + 0^2 + 0^2)</f>
      </c>
      <c r="F26" s="8">
        <f>SQRT(0^2 + 0^2 + 0^2 + 0^2)</f>
      </c>
    </row>
    <row x14ac:dyDescent="0.25" r="27" customHeight="1" ht="17.25">
      <c r="A27" s="1"/>
      <c r="B27" s="7" t="s">
        <v>587</v>
      </c>
      <c r="C27" s="7" t="s">
        <v>22</v>
      </c>
      <c r="D27" s="7" t="s">
        <v>22</v>
      </c>
      <c r="E27" s="8">
        <f>SQRT(1^2 + 1^2 + 1^2 + 1^2)</f>
      </c>
      <c r="F27" s="8">
        <f>SQRT(1^2 + 1^2 + 1^2 + 1^2)</f>
      </c>
    </row>
    <row x14ac:dyDescent="0.25" r="28" customHeight="1" ht="17.25">
      <c r="A28" s="1"/>
      <c r="B28" s="7" t="s">
        <v>630</v>
      </c>
      <c r="C28" s="7" t="s">
        <v>22</v>
      </c>
      <c r="D28" s="7" t="s">
        <v>22</v>
      </c>
      <c r="E28" s="8">
        <f>SQRT(1^2 + 1^2 + 1^2 + 1^2)</f>
      </c>
      <c r="F28" s="8">
        <f>SQRT(1^2 + 1^2 + 1^2 + 1^2)</f>
      </c>
    </row>
    <row x14ac:dyDescent="0.25" r="29" customHeight="1" ht="17.25">
      <c r="A29" s="1"/>
      <c r="B29" s="7" t="s">
        <v>22</v>
      </c>
      <c r="C29" s="7" t="s">
        <v>631</v>
      </c>
      <c r="D29" s="7" t="s">
        <v>22</v>
      </c>
      <c r="E29" s="8">
        <f>SQRT(1^2 + 1^2 + 1^2 + 1^2)</f>
      </c>
      <c r="F29" s="8">
        <f>SQRT(0^2 + 0^2 + 0^2 + 0^2)</f>
      </c>
    </row>
    <row x14ac:dyDescent="0.25" r="30" customHeight="1" ht="17.25">
      <c r="A30" s="1"/>
      <c r="B30" s="1"/>
      <c r="C30" s="1"/>
      <c r="D30" s="19"/>
      <c r="E30" s="3"/>
      <c r="F30" s="3"/>
    </row>
    <row x14ac:dyDescent="0.25" r="31" customHeight="1" ht="17.25">
      <c r="A31" s="1"/>
      <c r="B31" s="1"/>
      <c r="C31" s="1"/>
      <c r="D31" s="19"/>
      <c r="E31" s="3"/>
      <c r="F31" s="3"/>
    </row>
    <row x14ac:dyDescent="0.25" r="32" customHeight="1" ht="17.25">
      <c r="A32" s="1"/>
      <c r="B32" s="1"/>
      <c r="C32" s="1"/>
      <c r="D32" s="7" t="s">
        <v>82</v>
      </c>
      <c r="E32" s="10">
        <f>SQRT(SUMSQ(E3:E29))</f>
      </c>
      <c r="F32" s="10">
        <f>SQRT(SUMSQ(F3:F29))</f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3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7.576428571428572" customWidth="1" bestFit="1"/>
    <col min="3" max="3" style="11" width="37.005" customWidth="1" bestFit="1"/>
    <col min="4" max="4" style="20" width="36.57642857142857" customWidth="1" bestFit="1"/>
    <col min="5" max="5" style="13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4" t="s">
        <v>15</v>
      </c>
      <c r="F2" s="6" t="s">
        <v>16</v>
      </c>
    </row>
    <row x14ac:dyDescent="0.25" r="3" customHeight="1" ht="17.25">
      <c r="A3" s="1"/>
      <c r="B3" s="7" t="s">
        <v>184</v>
      </c>
      <c r="C3" s="7" t="s">
        <v>22</v>
      </c>
      <c r="D3" s="7" t="s">
        <v>22</v>
      </c>
      <c r="E3" s="8">
        <f>1</f>
      </c>
      <c r="F3" s="8">
        <f>1</f>
      </c>
    </row>
    <row x14ac:dyDescent="0.25" r="4" customHeight="1" ht="17.25">
      <c r="A4" s="1"/>
      <c r="B4" s="7" t="s">
        <v>539</v>
      </c>
      <c r="C4" s="7" t="s">
        <v>540</v>
      </c>
      <c r="D4" s="7" t="s">
        <v>541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185</v>
      </c>
      <c r="C5" s="7" t="s">
        <v>542</v>
      </c>
      <c r="D5" s="7" t="s">
        <v>543</v>
      </c>
      <c r="E5" s="8">
        <f>SQRT(0^2 + 0^2 + 0^2 + 0^2)</f>
      </c>
      <c r="F5" s="8">
        <f>SQRT(0^2 + 0^2 + 0^2 + 0^2)</f>
      </c>
    </row>
    <row x14ac:dyDescent="0.25" r="6" customHeight="1" ht="17.25">
      <c r="A6" s="1"/>
      <c r="B6" s="7" t="s">
        <v>384</v>
      </c>
      <c r="C6" s="7" t="s">
        <v>544</v>
      </c>
      <c r="D6" s="7" t="s">
        <v>545</v>
      </c>
      <c r="E6" s="8">
        <f>SQRT(0^2 + 0^2 + 0^2 + 0^2)</f>
      </c>
      <c r="F6" s="8">
        <f>SQRT(0^2 + 0^2 + 0^2 + 0^2)</f>
      </c>
    </row>
    <row x14ac:dyDescent="0.25" r="7" customHeight="1" ht="17.25">
      <c r="A7" s="1"/>
      <c r="B7" s="7" t="s">
        <v>187</v>
      </c>
      <c r="C7" s="7" t="s">
        <v>187</v>
      </c>
      <c r="D7" s="7" t="s">
        <v>187</v>
      </c>
      <c r="E7" s="8">
        <f>0</f>
      </c>
      <c r="F7" s="8">
        <f>0</f>
      </c>
    </row>
    <row x14ac:dyDescent="0.25" r="8" customHeight="1" ht="17.25">
      <c r="A8" s="1"/>
      <c r="B8" s="7" t="s">
        <v>546</v>
      </c>
      <c r="C8" s="7" t="s">
        <v>546</v>
      </c>
      <c r="D8" s="7" t="s">
        <v>546</v>
      </c>
      <c r="E8" s="8">
        <f>0</f>
      </c>
      <c r="F8" s="8">
        <f>0</f>
      </c>
    </row>
    <row x14ac:dyDescent="0.25" r="9" customHeight="1" ht="17.25">
      <c r="A9" s="1"/>
      <c r="B9" s="7" t="s">
        <v>22</v>
      </c>
      <c r="C9" s="7" t="s">
        <v>547</v>
      </c>
      <c r="D9" s="7" t="s">
        <v>548</v>
      </c>
      <c r="E9" s="8">
        <f>SQRT(1^2 + 1^2 + 1^2 + 1^2)</f>
      </c>
      <c r="F9" s="8">
        <f>SQRT(1^2 + 1^2 + 1^2 + 1^2)</f>
      </c>
    </row>
    <row x14ac:dyDescent="0.25" r="10" customHeight="1" ht="17.25">
      <c r="A10" s="1"/>
      <c r="B10" s="7" t="s">
        <v>549</v>
      </c>
      <c r="C10" s="7" t="s">
        <v>550</v>
      </c>
      <c r="D10" s="7" t="s">
        <v>551</v>
      </c>
      <c r="E10" s="10">
        <f>0.5</f>
      </c>
      <c r="F10" s="10">
        <f>0.5</f>
      </c>
    </row>
    <row x14ac:dyDescent="0.25" r="11" customHeight="1" ht="17.25">
      <c r="A11" s="1"/>
      <c r="B11" s="7" t="s">
        <v>552</v>
      </c>
      <c r="C11" s="7" t="s">
        <v>553</v>
      </c>
      <c r="D11" s="7" t="s">
        <v>22</v>
      </c>
      <c r="E11" s="8">
        <f>SQRT(0^2 + 0^2 + 0^2 + 0^2)</f>
      </c>
      <c r="F11" s="8">
        <f>SQRT(1^2 + 1^2 + 1^2 + 1^2)</f>
      </c>
    </row>
    <row x14ac:dyDescent="0.25" r="12" customHeight="1" ht="17.25">
      <c r="A12" s="1"/>
      <c r="B12" s="7" t="s">
        <v>554</v>
      </c>
      <c r="C12" s="7" t="s">
        <v>555</v>
      </c>
      <c r="D12" s="7" t="s">
        <v>556</v>
      </c>
      <c r="E12" s="8">
        <f>SQRT(0^2 + 0^2 + 1^2 + 0^2)</f>
      </c>
      <c r="F12" s="8">
        <f>SQRT(0^2 + 0^2 + 1^2 + 0^2)</f>
      </c>
    </row>
    <row x14ac:dyDescent="0.25" r="13" customHeight="1" ht="17.25">
      <c r="A13" s="1"/>
      <c r="B13" s="7" t="s">
        <v>557</v>
      </c>
      <c r="C13" s="7" t="s">
        <v>558</v>
      </c>
      <c r="D13" s="7" t="s">
        <v>559</v>
      </c>
      <c r="E13" s="8">
        <f>SQRT(0^2 + 0^2 + 0^2 + 0^2)</f>
      </c>
      <c r="F13" s="8">
        <f>SQRT(0^2 + 0^2 + 0^2 + 0^2)</f>
      </c>
    </row>
    <row x14ac:dyDescent="0.25" r="14" customHeight="1" ht="17.25">
      <c r="A14" s="1"/>
      <c r="B14" s="7" t="s">
        <v>560</v>
      </c>
      <c r="C14" s="7" t="s">
        <v>561</v>
      </c>
      <c r="D14" s="7" t="s">
        <v>562</v>
      </c>
      <c r="E14" s="8">
        <f>SQRT(0^2 + 0^2 + 0^2 + 0^2)</f>
      </c>
      <c r="F14" s="8">
        <f>SQRT(0^2 + 0^2 + 0^2 + 0^2)</f>
      </c>
    </row>
    <row x14ac:dyDescent="0.25" r="15" customHeight="1" ht="17.25">
      <c r="A15" s="1"/>
      <c r="B15" s="7" t="s">
        <v>563</v>
      </c>
      <c r="C15" s="7" t="s">
        <v>564</v>
      </c>
      <c r="D15" s="7" t="s">
        <v>565</v>
      </c>
      <c r="E15" s="8">
        <f>0</f>
      </c>
      <c r="F15" s="8">
        <f>0</f>
      </c>
    </row>
    <row x14ac:dyDescent="0.25" r="16" customHeight="1" ht="17.25">
      <c r="A16" s="1"/>
      <c r="B16" s="7" t="s">
        <v>566</v>
      </c>
      <c r="C16" s="7" t="s">
        <v>567</v>
      </c>
      <c r="D16" s="7" t="s">
        <v>568</v>
      </c>
      <c r="E16" s="8">
        <f>SQRT(0^2 + 0^2 + 0^2 + 0^2)</f>
      </c>
      <c r="F16" s="8">
        <f>SQRT(0^2 + 0^2 + 0^2 + 0^2)</f>
      </c>
    </row>
    <row x14ac:dyDescent="0.25" r="17" customHeight="1" ht="17.25">
      <c r="A17" s="1"/>
      <c r="B17" s="7" t="s">
        <v>569</v>
      </c>
      <c r="C17" s="7" t="s">
        <v>570</v>
      </c>
      <c r="D17" s="7" t="s">
        <v>571</v>
      </c>
      <c r="E17" s="8">
        <f>SQRT(0^2 + 0^2 + 0^2 + 0^2)</f>
      </c>
      <c r="F17" s="8">
        <f>SQRT(0^2 + 0^2 + 0^2 + 0^2)</f>
      </c>
    </row>
    <row x14ac:dyDescent="0.25" r="18" customHeight="1" ht="17.25">
      <c r="A18" s="1"/>
      <c r="B18" s="7" t="s">
        <v>22</v>
      </c>
      <c r="C18" s="7" t="s">
        <v>572</v>
      </c>
      <c r="D18" s="7" t="s">
        <v>573</v>
      </c>
      <c r="E18" s="8">
        <f>SQRT(1^2 + 1^2 + 1^2 + 1^2)</f>
      </c>
      <c r="F18" s="8">
        <f>SQRT(1^2 + 1^2 + 1^2 + 1^2)</f>
      </c>
    </row>
    <row x14ac:dyDescent="0.25" r="19" customHeight="1" ht="17.25">
      <c r="A19" s="1"/>
      <c r="B19" s="7" t="s">
        <v>574</v>
      </c>
      <c r="C19" s="7" t="s">
        <v>22</v>
      </c>
      <c r="D19" s="7" t="s">
        <v>22</v>
      </c>
      <c r="E19" s="8">
        <f>1</f>
      </c>
      <c r="F19" s="8">
        <f>1</f>
      </c>
    </row>
    <row x14ac:dyDescent="0.25" r="20" customHeight="1" ht="17.25">
      <c r="A20" s="1"/>
      <c r="B20" s="7" t="s">
        <v>575</v>
      </c>
      <c r="C20" s="7" t="s">
        <v>22</v>
      </c>
      <c r="D20" s="7" t="s">
        <v>22</v>
      </c>
      <c r="E20" s="8">
        <f>SQRT(1^2 + 1^2 + 1^2 + 1^2)</f>
      </c>
      <c r="F20" s="8">
        <f>SQRT(1^2 + 1^2 + 1^2 + 1^2)</f>
      </c>
    </row>
    <row x14ac:dyDescent="0.25" r="21" customHeight="1" ht="17.25">
      <c r="A21" s="1"/>
      <c r="B21" s="7" t="s">
        <v>576</v>
      </c>
      <c r="C21" s="7" t="s">
        <v>576</v>
      </c>
      <c r="D21" s="7" t="s">
        <v>576</v>
      </c>
      <c r="E21" s="8">
        <f>SQRT(0^2 + 0^2 + 0^2 + 0^2)</f>
      </c>
      <c r="F21" s="8">
        <f>0</f>
      </c>
    </row>
    <row x14ac:dyDescent="0.25" r="22" customHeight="1" ht="17.25">
      <c r="A22" s="1"/>
      <c r="B22" s="7" t="s">
        <v>577</v>
      </c>
      <c r="C22" s="7" t="s">
        <v>577</v>
      </c>
      <c r="D22" s="7" t="s">
        <v>578</v>
      </c>
      <c r="E22" s="8">
        <f>SQRT(0^2 + 0^2 + 0^2 + 0^2)</f>
      </c>
      <c r="F22" s="8">
        <f>SQRT(0^2 + 0^2 + 1^2 + 0^2)</f>
      </c>
    </row>
    <row x14ac:dyDescent="0.25" r="23" customHeight="1" ht="17.25">
      <c r="A23" s="1"/>
      <c r="B23" s="7" t="s">
        <v>579</v>
      </c>
      <c r="C23" s="7" t="s">
        <v>579</v>
      </c>
      <c r="D23" s="7" t="s">
        <v>579</v>
      </c>
      <c r="E23" s="8">
        <f>SQRT(0^2 + 0^2 + 0^2 + 0^2)</f>
      </c>
      <c r="F23" s="8">
        <f>SQRT(0^2 + 0^2 + 0^2 + 0^2)</f>
      </c>
    </row>
    <row x14ac:dyDescent="0.25" r="24" customHeight="1" ht="17.25">
      <c r="A24" s="1"/>
      <c r="B24" s="7" t="s">
        <v>22</v>
      </c>
      <c r="C24" s="7" t="s">
        <v>580</v>
      </c>
      <c r="D24" s="7" t="s">
        <v>580</v>
      </c>
      <c r="E24" s="8">
        <f>SQRT(1^2 + 1^2 + 1^2 + 1^2)</f>
      </c>
      <c r="F24" s="8">
        <f>SQRT(1^2 + 1^2 + 1^2 + 1^2)</f>
      </c>
    </row>
    <row x14ac:dyDescent="0.25" r="25" customHeight="1" ht="17.25">
      <c r="A25" s="1"/>
      <c r="B25" s="7" t="s">
        <v>581</v>
      </c>
      <c r="C25" s="7" t="s">
        <v>22</v>
      </c>
      <c r="D25" s="7" t="s">
        <v>581</v>
      </c>
      <c r="E25" s="8">
        <f>1</f>
      </c>
      <c r="F25" s="8">
        <f>0</f>
      </c>
    </row>
    <row x14ac:dyDescent="0.25" r="26" customHeight="1" ht="17.25">
      <c r="A26" s="1"/>
      <c r="B26" s="7" t="s">
        <v>22</v>
      </c>
      <c r="C26" s="7" t="s">
        <v>582</v>
      </c>
      <c r="D26" s="7" t="s">
        <v>583</v>
      </c>
      <c r="E26" s="8">
        <f>SQRT(1^2 + 1^2 + 1^2 + 1^2)</f>
      </c>
      <c r="F26" s="8">
        <f>SQRT(1^2 + 1^2 + 1^2 + 1^2)</f>
      </c>
    </row>
    <row x14ac:dyDescent="0.25" r="27" customHeight="1" ht="17.25">
      <c r="A27" s="1"/>
      <c r="B27" s="7" t="s">
        <v>584</v>
      </c>
      <c r="C27" s="7" t="s">
        <v>22</v>
      </c>
      <c r="D27" s="7" t="s">
        <v>22</v>
      </c>
      <c r="E27" s="8">
        <v>1</v>
      </c>
      <c r="F27" s="8">
        <f>1</f>
      </c>
    </row>
    <row x14ac:dyDescent="0.25" r="28" customHeight="1" ht="17.25">
      <c r="A28" s="1"/>
      <c r="B28" s="7" t="s">
        <v>585</v>
      </c>
      <c r="C28" s="7" t="s">
        <v>22</v>
      </c>
      <c r="D28" s="7" t="s">
        <v>22</v>
      </c>
      <c r="E28" s="8">
        <f>SQRT(1^2 + 1^2 + 1^2 + 1^2)</f>
      </c>
      <c r="F28" s="8">
        <f>SQRT(1^2 + 1^2 + 1^2 + 1^2)</f>
      </c>
    </row>
    <row x14ac:dyDescent="0.25" r="29" customHeight="1" ht="17.25">
      <c r="A29" s="1"/>
      <c r="B29" s="7" t="s">
        <v>586</v>
      </c>
      <c r="C29" s="7" t="s">
        <v>22</v>
      </c>
      <c r="D29" s="7" t="s">
        <v>22</v>
      </c>
      <c r="E29" s="8">
        <f>SQRT(1^2 + 1^2 + 1^2 + 1^2)</f>
      </c>
      <c r="F29" s="8">
        <f>SQRT(1^2 + 1^2 + 1^2 + 1^2)</f>
      </c>
    </row>
    <row x14ac:dyDescent="0.25" r="30" customHeight="1" ht="17.25">
      <c r="A30" s="1"/>
      <c r="B30" s="7" t="s">
        <v>587</v>
      </c>
      <c r="C30" s="7" t="s">
        <v>22</v>
      </c>
      <c r="D30" s="7" t="s">
        <v>22</v>
      </c>
      <c r="E30" s="8">
        <f>SQRT(1^2 + 1^2 + 1^2 + 1^2)</f>
      </c>
      <c r="F30" s="8">
        <f>SQRT(1^2 + 1^2 + 1^2 + 1^2)</f>
      </c>
    </row>
    <row x14ac:dyDescent="0.25" r="31" customHeight="1" ht="17.25">
      <c r="A31" s="1"/>
      <c r="B31" s="7" t="s">
        <v>588</v>
      </c>
      <c r="C31" s="7" t="s">
        <v>589</v>
      </c>
      <c r="D31" s="7" t="s">
        <v>589</v>
      </c>
      <c r="E31" s="8">
        <f>SQRT(0^2 + 0^2 + 0^2 + 0^2)</f>
      </c>
      <c r="F31" s="8">
        <f>SQRT(0^2 + 0^2 + 0^2 + 0^2)</f>
      </c>
    </row>
    <row x14ac:dyDescent="0.25" r="32" customHeight="1" ht="17.25">
      <c r="A32" s="1"/>
      <c r="B32" s="7" t="s">
        <v>590</v>
      </c>
      <c r="C32" s="7" t="s">
        <v>590</v>
      </c>
      <c r="D32" s="7" t="s">
        <v>590</v>
      </c>
      <c r="E32" s="8">
        <f>SQRT(0^2 + 0^2 + 0^2 + 1^2)</f>
      </c>
      <c r="F32" s="8">
        <f>SQRT(0^2 + 0^2 + 0^2 + 1^2)</f>
      </c>
    </row>
    <row x14ac:dyDescent="0.25" r="33" customHeight="1" ht="17.25">
      <c r="A33" s="1"/>
      <c r="B33" s="7" t="s">
        <v>591</v>
      </c>
      <c r="C33" s="7" t="s">
        <v>592</v>
      </c>
      <c r="D33" s="7" t="s">
        <v>593</v>
      </c>
      <c r="E33" s="8">
        <f>SQRT(0^2 + 0^2 + 0^2 + 0^2)</f>
      </c>
      <c r="F33" s="8">
        <f>SQRT(0^2 + 0^2 + 0^2 + 1^2)</f>
      </c>
    </row>
    <row x14ac:dyDescent="0.25" r="34" customHeight="1" ht="17.25">
      <c r="A34" s="1"/>
      <c r="B34" s="7" t="s">
        <v>594</v>
      </c>
      <c r="C34" s="7" t="s">
        <v>22</v>
      </c>
      <c r="D34" s="7" t="s">
        <v>22</v>
      </c>
      <c r="E34" s="8">
        <f>SQRT(1^2 + 1^2 + 1^2 + 1^2)</f>
      </c>
      <c r="F34" s="8">
        <f>SQRT(1^2 + 1^2 + 1^2 + 1^2)</f>
      </c>
    </row>
    <row x14ac:dyDescent="0.25" r="35" customHeight="1" ht="17.25">
      <c r="A35" s="1"/>
      <c r="B35" s="7" t="s">
        <v>595</v>
      </c>
      <c r="C35" s="7" t="s">
        <v>596</v>
      </c>
      <c r="D35" s="7" t="s">
        <v>596</v>
      </c>
      <c r="E35" s="8">
        <f>SQRT(0^2 + 0^2 + 0^2 + 0^2)</f>
      </c>
      <c r="F35" s="8">
        <f>SQRT(0^2 + 0^2 + 0^2 + 0^2)</f>
      </c>
    </row>
    <row x14ac:dyDescent="0.25" r="36" customHeight="1" ht="17.25">
      <c r="A36" s="1"/>
      <c r="B36" s="7" t="s">
        <v>597</v>
      </c>
      <c r="C36" s="7" t="s">
        <v>22</v>
      </c>
      <c r="D36" s="7" t="s">
        <v>22</v>
      </c>
      <c r="E36" s="8">
        <f>SQRT(1^2 + 1^2 + 1^2 + 1^2)</f>
      </c>
      <c r="F36" s="8">
        <f>SQRT(1^2 + 1^2 + 1^2 + 1^2)</f>
      </c>
    </row>
    <row x14ac:dyDescent="0.25" r="37" customHeight="1" ht="17.25">
      <c r="A37" s="1"/>
      <c r="B37" s="7" t="s">
        <v>598</v>
      </c>
      <c r="C37" s="7" t="s">
        <v>22</v>
      </c>
      <c r="D37" s="7" t="s">
        <v>22</v>
      </c>
      <c r="E37" s="8">
        <f>SQRT(1^2 + 1^2 + 1^2 + 1^2)</f>
      </c>
      <c r="F37" s="8">
        <f>SQRT(1^2 + 1^2 + 1^2 + 1^2)</f>
      </c>
    </row>
    <row x14ac:dyDescent="0.25" r="38" customHeight="1" ht="17.25">
      <c r="A38" s="1"/>
      <c r="B38" s="7" t="s">
        <v>599</v>
      </c>
      <c r="C38" s="7" t="s">
        <v>22</v>
      </c>
      <c r="D38" s="7" t="s">
        <v>22</v>
      </c>
      <c r="E38" s="8">
        <f>SQRT(1^2 + 1^2 + 1^2 + 1^2)</f>
      </c>
      <c r="F38" s="8">
        <f>SQRT(1^2 + 1^2 + 1^2 + 1^2)</f>
      </c>
    </row>
    <row x14ac:dyDescent="0.25" r="39" customHeight="1" ht="17.25">
      <c r="A39" s="1"/>
      <c r="B39" s="7" t="s">
        <v>22</v>
      </c>
      <c r="C39" s="7" t="s">
        <v>600</v>
      </c>
      <c r="D39" s="7" t="s">
        <v>22</v>
      </c>
      <c r="E39" s="8">
        <f>SQRT(0^2 + 0^2 + 0^2 + 0^2)</f>
      </c>
      <c r="F39" s="8">
        <f>SQRT(0^2 + 0^2 + 0^2 + 0^2)</f>
      </c>
    </row>
    <row x14ac:dyDescent="0.25" r="40" customHeight="1" ht="17.25">
      <c r="A40" s="1"/>
      <c r="B40" s="7" t="s">
        <v>22</v>
      </c>
      <c r="C40" s="7" t="s">
        <v>22</v>
      </c>
      <c r="D40" s="7" t="s">
        <v>601</v>
      </c>
      <c r="E40" s="8">
        <f>SQRT(1^2 + 1^2 + 1^2 + 1^2)</f>
      </c>
      <c r="F40" s="8">
        <f>SQRT(1^2 + 1^2 + 1^2 + 1^2)</f>
      </c>
    </row>
    <row x14ac:dyDescent="0.25" r="41" customHeight="1" ht="17.25">
      <c r="A41" s="1"/>
      <c r="B41" s="1"/>
      <c r="C41" s="1"/>
      <c r="D41" s="19"/>
      <c r="E41" s="3"/>
      <c r="F41" s="3"/>
    </row>
    <row x14ac:dyDescent="0.25" r="42" customHeight="1" ht="17.25">
      <c r="A42" s="1"/>
      <c r="B42" s="1"/>
      <c r="C42" s="1"/>
      <c r="D42" s="19"/>
      <c r="E42" s="3"/>
      <c r="F42" s="3"/>
    </row>
    <row x14ac:dyDescent="0.25" r="43" customHeight="1" ht="17.25">
      <c r="A43" s="1"/>
      <c r="B43" s="1"/>
      <c r="C43" s="1"/>
      <c r="D43" s="7" t="s">
        <v>82</v>
      </c>
      <c r="E43" s="10">
        <f>SQRT(SUMSQ(E3:E40))</f>
      </c>
      <c r="F43" s="10">
        <f>SQRT(SUMSQ(F3:F40))</f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/>
  </sheetViews>
  <sheetFormatPr defaultRowHeight="15" x14ac:dyDescent="0.25"/>
  <cols>
    <col min="1" max="1" style="11" width="12.43357142857143" customWidth="1" bestFit="1"/>
    <col min="2" max="2" style="11" width="24.862142857142857" customWidth="1" bestFit="1"/>
    <col min="3" max="3" style="11" width="23.433571428571426" customWidth="1" bestFit="1"/>
    <col min="4" max="4" style="20" width="23.433571428571426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21" t="s">
        <v>14</v>
      </c>
      <c r="C2" s="21" t="s">
        <v>10</v>
      </c>
      <c r="D2" s="21" t="s">
        <v>11</v>
      </c>
      <c r="E2" s="16" t="s">
        <v>15</v>
      </c>
      <c r="F2" s="16" t="s">
        <v>16</v>
      </c>
    </row>
    <row x14ac:dyDescent="0.25" r="3" customHeight="1" ht="17.25">
      <c r="A3" s="1"/>
      <c r="B3" s="21" t="s">
        <v>184</v>
      </c>
      <c r="C3" s="21" t="s">
        <v>22</v>
      </c>
      <c r="D3" s="21" t="s">
        <v>22</v>
      </c>
      <c r="E3" s="22">
        <f>1</f>
      </c>
      <c r="F3" s="22">
        <f>1</f>
      </c>
    </row>
    <row x14ac:dyDescent="0.25" r="4" customHeight="1" ht="17.25">
      <c r="A4" s="1"/>
      <c r="B4" s="21" t="s">
        <v>185</v>
      </c>
      <c r="C4" s="21" t="s">
        <v>502</v>
      </c>
      <c r="D4" s="21" t="s">
        <v>502</v>
      </c>
      <c r="E4" s="22">
        <f>SQRT(0^2 + 0^2 + 0^2 + 0^2)</f>
      </c>
      <c r="F4" s="22">
        <f>SQRT(0^2 + 0^2 + 0^2 + 0^2)</f>
      </c>
    </row>
    <row x14ac:dyDescent="0.25" r="5" customHeight="1" ht="17.25">
      <c r="A5" s="1"/>
      <c r="B5" s="21" t="s">
        <v>384</v>
      </c>
      <c r="C5" s="21" t="s">
        <v>503</v>
      </c>
      <c r="D5" s="21" t="s">
        <v>503</v>
      </c>
      <c r="E5" s="22">
        <f>SQRT(0^2 + 0^2 + 0^2 + 0^2)</f>
      </c>
      <c r="F5" s="22">
        <f>SQRT(0^2 + 0^2 + 0^2 + 0^2)</f>
      </c>
    </row>
    <row x14ac:dyDescent="0.25" r="6" customHeight="1" ht="17.25">
      <c r="A6" s="1"/>
      <c r="B6" s="21" t="s">
        <v>188</v>
      </c>
      <c r="C6" s="21" t="s">
        <v>188</v>
      </c>
      <c r="D6" s="21" t="s">
        <v>188</v>
      </c>
      <c r="E6" s="22">
        <f>0</f>
      </c>
      <c r="F6" s="22">
        <f>0</f>
      </c>
    </row>
    <row x14ac:dyDescent="0.25" r="7" customHeight="1" ht="17.25">
      <c r="A7" s="1"/>
      <c r="B7" s="21" t="s">
        <v>504</v>
      </c>
      <c r="C7" s="21" t="s">
        <v>504</v>
      </c>
      <c r="D7" s="21" t="s">
        <v>504</v>
      </c>
      <c r="E7" s="22">
        <f>SQRT(0^2 + 0^2 + 0^2 + 0^2)</f>
      </c>
      <c r="F7" s="22">
        <f>SQRT(0^2 + 0^2 + 0^2 + 0^2)</f>
      </c>
    </row>
    <row x14ac:dyDescent="0.25" r="8" customHeight="1" ht="17.25">
      <c r="A8" s="1"/>
      <c r="B8" s="21" t="s">
        <v>505</v>
      </c>
      <c r="C8" s="21" t="s">
        <v>505</v>
      </c>
      <c r="D8" s="21" t="s">
        <v>505</v>
      </c>
      <c r="E8" s="22">
        <f>0</f>
      </c>
      <c r="F8" s="22">
        <f>0</f>
      </c>
    </row>
    <row x14ac:dyDescent="0.25" r="9" customHeight="1" ht="17.25">
      <c r="A9" s="1"/>
      <c r="B9" s="21" t="s">
        <v>506</v>
      </c>
      <c r="C9" s="21" t="s">
        <v>506</v>
      </c>
      <c r="D9" s="21" t="s">
        <v>506</v>
      </c>
      <c r="E9" s="22">
        <f>SQRT(0^2 + 0^2 + 0^2 + 0^2)</f>
      </c>
      <c r="F9" s="22">
        <f>SQRT(0^2 + 0^2 + 0^2 + 0^2)</f>
      </c>
    </row>
    <row x14ac:dyDescent="0.25" r="10" customHeight="1" ht="17.25">
      <c r="A10" s="1"/>
      <c r="B10" s="21" t="s">
        <v>507</v>
      </c>
      <c r="C10" s="21" t="s">
        <v>508</v>
      </c>
      <c r="D10" s="21" t="s">
        <v>508</v>
      </c>
      <c r="E10" s="22">
        <f>SQRT(0^2 + 0^2 + 0^2 + 0^2)</f>
      </c>
      <c r="F10" s="22">
        <f>SQRT(0^2 + 0^2 + 0^2 + 0^2)</f>
      </c>
    </row>
    <row x14ac:dyDescent="0.25" r="11" customHeight="1" ht="17.25">
      <c r="A11" s="1"/>
      <c r="B11" s="21" t="s">
        <v>509</v>
      </c>
      <c r="C11" s="21" t="s">
        <v>509</v>
      </c>
      <c r="D11" s="21" t="s">
        <v>509</v>
      </c>
      <c r="E11" s="22">
        <f>0</f>
      </c>
      <c r="F11" s="22">
        <f>0</f>
      </c>
    </row>
    <row x14ac:dyDescent="0.25" r="12" customHeight="1" ht="17.25">
      <c r="A12" s="1"/>
      <c r="B12" s="21" t="s">
        <v>510</v>
      </c>
      <c r="C12" s="21" t="s">
        <v>510</v>
      </c>
      <c r="D12" s="21" t="s">
        <v>22</v>
      </c>
      <c r="E12" s="22">
        <f>SQRT(0^2 + 0^2 + 0^2 + 0^2)</f>
      </c>
      <c r="F12" s="22">
        <f>SQRT(1^2 + 1^2 + 1^2 + 1^2)</f>
      </c>
    </row>
    <row x14ac:dyDescent="0.25" r="13" customHeight="1" ht="17.25">
      <c r="A13" s="1"/>
      <c r="B13" s="21" t="s">
        <v>511</v>
      </c>
      <c r="C13" s="21" t="s">
        <v>511</v>
      </c>
      <c r="D13" s="21" t="s">
        <v>512</v>
      </c>
      <c r="E13" s="22">
        <f>SQRT(0^2 + 0^2 + 0^2 + 0^2)</f>
      </c>
      <c r="F13" s="18">
        <f>SQRT(0^2 + 0^2 + 1^2 + 1^2)</f>
      </c>
    </row>
    <row x14ac:dyDescent="0.25" r="14" customHeight="1" ht="17.25">
      <c r="A14" s="1"/>
      <c r="B14" s="21" t="s">
        <v>513</v>
      </c>
      <c r="C14" s="21" t="s">
        <v>513</v>
      </c>
      <c r="D14" s="21" t="s">
        <v>514</v>
      </c>
      <c r="E14" s="22">
        <f>SQRT(0^2 + 0^2 + 0^2 + 0^2)</f>
      </c>
      <c r="F14" s="18">
        <f>SQRT(0^2 + 0^2 + 1^2 + 1^2)</f>
      </c>
    </row>
    <row x14ac:dyDescent="0.25" r="15" customHeight="1" ht="17.25">
      <c r="A15" s="1"/>
      <c r="B15" s="21" t="s">
        <v>515</v>
      </c>
      <c r="C15" s="21" t="s">
        <v>515</v>
      </c>
      <c r="D15" s="21" t="s">
        <v>515</v>
      </c>
      <c r="E15" s="22">
        <f>0</f>
      </c>
      <c r="F15" s="22">
        <f>0</f>
      </c>
    </row>
    <row x14ac:dyDescent="0.25" r="16" customHeight="1" ht="17.25">
      <c r="A16" s="1"/>
      <c r="B16" s="21" t="s">
        <v>516</v>
      </c>
      <c r="C16" s="21" t="s">
        <v>516</v>
      </c>
      <c r="D16" s="21" t="s">
        <v>516</v>
      </c>
      <c r="E16" s="22">
        <f>SQRT(0^2 + 0^2 + 0^2 + 0^2)</f>
      </c>
      <c r="F16" s="22">
        <f>SQRT(0^2 + 0^2 + 0^2 + 0^2)</f>
      </c>
    </row>
    <row x14ac:dyDescent="0.25" r="17" customHeight="1" ht="17.25">
      <c r="A17" s="1"/>
      <c r="B17" s="21" t="s">
        <v>517</v>
      </c>
      <c r="C17" s="21" t="s">
        <v>518</v>
      </c>
      <c r="D17" s="21" t="s">
        <v>519</v>
      </c>
      <c r="E17" s="22">
        <f>SQRT(0^2 + 0^2 + 1^2 + 0^2)</f>
      </c>
      <c r="F17" s="22">
        <f>SQRT(0^2 + 0^2 + 0^2 + 0^2)</f>
      </c>
    </row>
    <row x14ac:dyDescent="0.25" r="18" customHeight="1" ht="17.25">
      <c r="A18" s="1"/>
      <c r="B18" s="21" t="s">
        <v>520</v>
      </c>
      <c r="C18" s="21" t="s">
        <v>520</v>
      </c>
      <c r="D18" s="21" t="s">
        <v>520</v>
      </c>
      <c r="E18" s="22">
        <f>0</f>
      </c>
      <c r="F18" s="22">
        <f>0</f>
      </c>
    </row>
    <row x14ac:dyDescent="0.25" r="19" customHeight="1" ht="17.25">
      <c r="A19" s="1"/>
      <c r="B19" s="21" t="s">
        <v>521</v>
      </c>
      <c r="C19" s="21" t="s">
        <v>522</v>
      </c>
      <c r="D19" s="21" t="s">
        <v>522</v>
      </c>
      <c r="E19" s="22">
        <f>SQRT(0^2 + 0^2 + 0^2 + 0^2)</f>
      </c>
      <c r="F19" s="22">
        <f>SQRT(0^2 + 0^2 + 0^2 + 0^2)</f>
      </c>
    </row>
    <row x14ac:dyDescent="0.25" r="20" customHeight="1" ht="17.25">
      <c r="A20" s="1"/>
      <c r="B20" s="21" t="s">
        <v>523</v>
      </c>
      <c r="C20" s="21" t="s">
        <v>524</v>
      </c>
      <c r="D20" s="21" t="s">
        <v>524</v>
      </c>
      <c r="E20" s="22">
        <f>SQRT(0^2 + 0^2 + 0^2 + 0^2)</f>
      </c>
      <c r="F20" s="22">
        <f>SQRT(0^2 + 0^2 + 0^2 + 0^2)</f>
      </c>
    </row>
    <row x14ac:dyDescent="0.25" r="21" customHeight="1" ht="17.25">
      <c r="A21" s="1"/>
      <c r="B21" s="21" t="s">
        <v>525</v>
      </c>
      <c r="C21" s="21" t="s">
        <v>525</v>
      </c>
      <c r="D21" s="21" t="s">
        <v>525</v>
      </c>
      <c r="E21" s="22">
        <f>0</f>
      </c>
      <c r="F21" s="22">
        <f>0</f>
      </c>
    </row>
    <row x14ac:dyDescent="0.25" r="22" customHeight="1" ht="17.25">
      <c r="A22" s="1"/>
      <c r="B22" s="21" t="s">
        <v>526</v>
      </c>
      <c r="C22" s="21" t="s">
        <v>526</v>
      </c>
      <c r="D22" s="21" t="s">
        <v>526</v>
      </c>
      <c r="E22" s="22">
        <f>SQRT(0^2 + 0^2 + 0^2 + 0^2)</f>
      </c>
      <c r="F22" s="22">
        <f>SQRT(0^2 + 0^2 + 0^2 + 0^2)</f>
      </c>
    </row>
    <row x14ac:dyDescent="0.25" r="23" customHeight="1" ht="17.25">
      <c r="A23" s="1"/>
      <c r="B23" s="21" t="s">
        <v>527</v>
      </c>
      <c r="C23" s="21" t="s">
        <v>528</v>
      </c>
      <c r="D23" s="21" t="s">
        <v>529</v>
      </c>
      <c r="E23" s="22">
        <f>SQRT(0^2 + 0^2 + 1^2 + 0^2)</f>
      </c>
      <c r="F23" s="22">
        <f>SQRT(0^2 + 0^2 + 1^2 + 0^2)</f>
      </c>
    </row>
    <row x14ac:dyDescent="0.25" r="24" customHeight="1" ht="17.25">
      <c r="A24" s="1"/>
      <c r="B24" s="21" t="s">
        <v>530</v>
      </c>
      <c r="C24" s="21" t="s">
        <v>531</v>
      </c>
      <c r="D24" s="21" t="s">
        <v>532</v>
      </c>
      <c r="E24" s="22">
        <f>SQRT(0^2 + 0^2 + 1^2 + 0^2)</f>
      </c>
      <c r="F24" s="22">
        <f>SQRT(0^2 + 0^2 + 1^2 + 0^2)</f>
      </c>
    </row>
    <row x14ac:dyDescent="0.25" r="25" customHeight="1" ht="17.25">
      <c r="A25" s="1"/>
      <c r="B25" s="21" t="s">
        <v>419</v>
      </c>
      <c r="C25" s="21" t="s">
        <v>22</v>
      </c>
      <c r="D25" s="21" t="s">
        <v>22</v>
      </c>
      <c r="E25" s="22">
        <f>SQRT(1^2 + 1^2 + 1^2 + 1^2)</f>
      </c>
      <c r="F25" s="22">
        <f>SQRT(1^2 + 1^2 + 1^2 + 1^2)</f>
      </c>
    </row>
    <row x14ac:dyDescent="0.25" r="26" customHeight="1" ht="17.25">
      <c r="A26" s="1"/>
      <c r="B26" s="21" t="s">
        <v>533</v>
      </c>
      <c r="C26" s="21" t="s">
        <v>22</v>
      </c>
      <c r="D26" s="21" t="s">
        <v>22</v>
      </c>
      <c r="E26" s="22">
        <f>SQRT(1^2 + 1^2 + 1^2 + 1^2)</f>
      </c>
      <c r="F26" s="22">
        <f>SQRT(1^2 + 1^2 + 1^2 + 1^2)</f>
      </c>
    </row>
    <row x14ac:dyDescent="0.25" r="27" customHeight="1" ht="17.25">
      <c r="A27" s="1"/>
      <c r="B27" s="21" t="s">
        <v>534</v>
      </c>
      <c r="C27" s="21" t="s">
        <v>534</v>
      </c>
      <c r="D27" s="21" t="s">
        <v>534</v>
      </c>
      <c r="E27" s="22">
        <f>SQRT(0^2 + 0^2 + 0^2 + 0^2)</f>
      </c>
      <c r="F27" s="22">
        <f>SQRT(0^2 + 0^2 + 0^2 + 0^2)</f>
      </c>
    </row>
    <row x14ac:dyDescent="0.25" r="28" customHeight="1" ht="17.25">
      <c r="A28" s="1"/>
      <c r="B28" s="21" t="s">
        <v>535</v>
      </c>
      <c r="C28" s="21" t="s">
        <v>535</v>
      </c>
      <c r="D28" s="21" t="s">
        <v>535</v>
      </c>
      <c r="E28" s="22">
        <f>SQRT(0^2 + 0^2 + 0^2 + 0^2)</f>
      </c>
      <c r="F28" s="22">
        <f>SQRT(0^2 + 0^2 + 0^2 + 0^2)</f>
      </c>
    </row>
    <row x14ac:dyDescent="0.25" r="29" customHeight="1" ht="17.25">
      <c r="A29" s="1"/>
      <c r="B29" s="21" t="s">
        <v>536</v>
      </c>
      <c r="C29" s="21" t="s">
        <v>536</v>
      </c>
      <c r="D29" s="21" t="s">
        <v>536</v>
      </c>
      <c r="E29" s="22">
        <f>SQRT(0^2 + 0^2 + 0^2 + 0^2)</f>
      </c>
      <c r="F29" s="22">
        <f>SQRT(0^2 + 0^2 + 0^2 + 0^2)</f>
      </c>
    </row>
    <row x14ac:dyDescent="0.25" r="30" customHeight="1" ht="17.25">
      <c r="A30" s="1"/>
      <c r="B30" s="21" t="s">
        <v>537</v>
      </c>
      <c r="C30" s="21" t="s">
        <v>537</v>
      </c>
      <c r="D30" s="21" t="s">
        <v>537</v>
      </c>
      <c r="E30" s="22">
        <f>SQRT(0^2 + 0^2 + 0^2 + 1^2)</f>
      </c>
      <c r="F30" s="22">
        <f>SQRT(0^2 + 0^2 + 0^2 + 1^2)</f>
      </c>
    </row>
    <row x14ac:dyDescent="0.25" r="31" customHeight="1" ht="17.25">
      <c r="A31" s="1"/>
      <c r="B31" s="21" t="s">
        <v>538</v>
      </c>
      <c r="C31" s="21" t="s">
        <v>538</v>
      </c>
      <c r="D31" s="21" t="s">
        <v>538</v>
      </c>
      <c r="E31" s="22">
        <f>SQRT(0^2 + 0^2 + 0^2 + 0^2)</f>
      </c>
      <c r="F31" s="22">
        <f>SQRT(0^2 + 0^2 + 0^2 + 1^2)</f>
      </c>
    </row>
    <row x14ac:dyDescent="0.25" r="32" customHeight="1" ht="17.25">
      <c r="A32" s="1"/>
      <c r="B32" s="1"/>
      <c r="C32" s="1"/>
      <c r="D32" s="19"/>
      <c r="E32" s="3"/>
      <c r="F32" s="3"/>
    </row>
    <row x14ac:dyDescent="0.25" r="33" customHeight="1" ht="17.25">
      <c r="A33" s="1"/>
      <c r="B33" s="1"/>
      <c r="C33" s="1"/>
      <c r="D33" s="19"/>
      <c r="E33" s="3"/>
      <c r="F33" s="3"/>
    </row>
    <row x14ac:dyDescent="0.25" r="34" customHeight="1" ht="17.25">
      <c r="A34" s="1"/>
      <c r="B34" s="1"/>
      <c r="C34" s="1"/>
      <c r="D34" s="7" t="s">
        <v>82</v>
      </c>
      <c r="E34" s="10">
        <f>SQRT(SUMSQ(E3:E31))</f>
      </c>
      <c r="F34" s="10">
        <f>SQRT(SUMSQ(F3:F31))</f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1.576428571428572" customWidth="1" bestFit="1"/>
    <col min="3" max="3" style="11" width="30.862142857142857" customWidth="1" bestFit="1"/>
    <col min="4" max="4" style="20" width="32.29071428571429" customWidth="1" bestFit="1"/>
    <col min="5" max="5" style="14" width="13.43357142857143" customWidth="1" bestFit="1"/>
    <col min="6" max="6" style="13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2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4" t="s">
        <v>16</v>
      </c>
    </row>
    <row x14ac:dyDescent="0.25" r="3" customHeight="1" ht="17.25">
      <c r="A3" s="1"/>
      <c r="B3" s="7" t="s">
        <v>184</v>
      </c>
      <c r="C3" s="7" t="s">
        <v>22</v>
      </c>
      <c r="D3" s="7" t="s">
        <v>22</v>
      </c>
      <c r="E3" s="8">
        <f>1</f>
      </c>
      <c r="F3" s="8">
        <f>1</f>
      </c>
    </row>
    <row x14ac:dyDescent="0.25" r="4" customHeight="1" ht="17.25">
      <c r="A4" s="1"/>
      <c r="B4" s="7" t="s">
        <v>469</v>
      </c>
      <c r="C4" s="7" t="s">
        <v>470</v>
      </c>
      <c r="D4" s="7" t="s">
        <v>471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185</v>
      </c>
      <c r="C5" s="7" t="s">
        <v>472</v>
      </c>
      <c r="D5" s="7" t="s">
        <v>472</v>
      </c>
      <c r="E5" s="8">
        <f>SQRT(0^2 + 0^2 + 0^2 + 0^2)</f>
      </c>
      <c r="F5" s="8">
        <f>SQRT(0^2 + 0^2 + 0^2 + 0^2)</f>
      </c>
    </row>
    <row x14ac:dyDescent="0.25" r="6" customHeight="1" ht="17.25">
      <c r="A6" s="1"/>
      <c r="B6" s="7" t="s">
        <v>473</v>
      </c>
      <c r="C6" s="7" t="s">
        <v>474</v>
      </c>
      <c r="D6" s="7" t="s">
        <v>475</v>
      </c>
      <c r="E6" s="8">
        <f>SQRT(0^2 + 0^2 + 0^2 + 0^2)</f>
      </c>
      <c r="F6" s="8">
        <f>SQRT(0^2 + 0^2 + 0^2 + 0^2)</f>
      </c>
    </row>
    <row x14ac:dyDescent="0.25" r="7" customHeight="1" ht="17.25">
      <c r="A7" s="1"/>
      <c r="B7" s="7" t="s">
        <v>28</v>
      </c>
      <c r="C7" s="7" t="s">
        <v>28</v>
      </c>
      <c r="D7" s="7" t="s">
        <v>28</v>
      </c>
      <c r="E7" s="8">
        <f>0</f>
      </c>
      <c r="F7" s="8">
        <f>0</f>
      </c>
    </row>
    <row x14ac:dyDescent="0.25" r="8" customHeight="1" ht="17.25">
      <c r="A8" s="1"/>
      <c r="B8" s="7" t="s">
        <v>476</v>
      </c>
      <c r="C8" s="7" t="s">
        <v>476</v>
      </c>
      <c r="D8" s="7" t="s">
        <v>476</v>
      </c>
      <c r="E8" s="8">
        <f>SQRT(0^2 + 0^2 + 0^2 + 0^2)</f>
      </c>
      <c r="F8" s="8">
        <f>SQRT(0^2 + 0^2 + 0^2 + 0^2)</f>
      </c>
    </row>
    <row x14ac:dyDescent="0.25" r="9" customHeight="1" ht="17.25">
      <c r="A9" s="1"/>
      <c r="B9" s="7" t="s">
        <v>477</v>
      </c>
      <c r="C9" s="7" t="s">
        <v>477</v>
      </c>
      <c r="D9" s="7" t="s">
        <v>477</v>
      </c>
      <c r="E9" s="8">
        <f>0</f>
      </c>
      <c r="F9" s="8">
        <f>0</f>
      </c>
    </row>
    <row x14ac:dyDescent="0.25" r="10" customHeight="1" ht="17.25">
      <c r="A10" s="1"/>
      <c r="B10" s="7" t="s">
        <v>478</v>
      </c>
      <c r="C10" s="7" t="s">
        <v>478</v>
      </c>
      <c r="D10" s="7" t="s">
        <v>479</v>
      </c>
      <c r="E10" s="8">
        <f>SQRT(0^2 + 0^2 + 0^2 + 0^2)</f>
      </c>
      <c r="F10" s="8">
        <f>SQRT(0^2 + 0^2 + 1^2 + 0^2)</f>
      </c>
    </row>
    <row x14ac:dyDescent="0.25" r="11" customHeight="1" ht="17.25">
      <c r="A11" s="1"/>
      <c r="B11" s="7" t="s">
        <v>480</v>
      </c>
      <c r="C11" s="7" t="s">
        <v>480</v>
      </c>
      <c r="D11" s="7" t="s">
        <v>480</v>
      </c>
      <c r="E11" s="8">
        <f>SQRT(0^2 + 0^2 + 0^2 + 0^2)</f>
      </c>
      <c r="F11" s="8">
        <f>SQRT(0^2 + 0^2 + 0^2 + 0^2)</f>
      </c>
    </row>
    <row x14ac:dyDescent="0.25" r="12" customHeight="1" ht="17.25">
      <c r="A12" s="1"/>
      <c r="B12" s="7" t="s">
        <v>481</v>
      </c>
      <c r="C12" s="7" t="s">
        <v>482</v>
      </c>
      <c r="D12" s="7" t="s">
        <v>483</v>
      </c>
      <c r="E12" s="8">
        <f>SQRT(0^2 + 0^2 + 0^2 + 0^2)</f>
      </c>
      <c r="F12" s="10">
        <f>SQRT(0^2 + 0^2 + 1^2 + 1^2)</f>
      </c>
    </row>
    <row x14ac:dyDescent="0.25" r="13" customHeight="1" ht="17.25">
      <c r="A13" s="1"/>
      <c r="B13" s="7" t="s">
        <v>484</v>
      </c>
      <c r="C13" s="7" t="s">
        <v>484</v>
      </c>
      <c r="D13" s="7" t="s">
        <v>484</v>
      </c>
      <c r="E13" s="8">
        <f>0</f>
      </c>
      <c r="F13" s="8">
        <f>0</f>
      </c>
    </row>
    <row x14ac:dyDescent="0.25" r="14" customHeight="1" ht="17.25">
      <c r="A14" s="1"/>
      <c r="B14" s="7" t="s">
        <v>485</v>
      </c>
      <c r="C14" s="7" t="s">
        <v>485</v>
      </c>
      <c r="D14" s="7" t="s">
        <v>485</v>
      </c>
      <c r="E14" s="8">
        <f>0</f>
      </c>
      <c r="F14" s="8">
        <f>0</f>
      </c>
    </row>
    <row x14ac:dyDescent="0.25" r="15" customHeight="1" ht="17.25">
      <c r="A15" s="1"/>
      <c r="B15" s="7" t="s">
        <v>486</v>
      </c>
      <c r="C15" s="7" t="s">
        <v>486</v>
      </c>
      <c r="D15" s="7" t="s">
        <v>486</v>
      </c>
      <c r="E15" s="8">
        <f>SQRT(0^2 + 0^2 + 0^2 + 0^2)</f>
      </c>
      <c r="F15" s="8">
        <f>SQRT(0^2 + 0^2 + 0^2 + 0^2)</f>
      </c>
    </row>
    <row x14ac:dyDescent="0.25" r="16" customHeight="1" ht="17.25">
      <c r="A16" s="1"/>
      <c r="B16" s="7" t="s">
        <v>487</v>
      </c>
      <c r="C16" s="7" t="s">
        <v>487</v>
      </c>
      <c r="D16" s="7" t="s">
        <v>487</v>
      </c>
      <c r="E16" s="8">
        <f>SQRT(0^2 + 0^2 + 0^2 + 0^2)</f>
      </c>
      <c r="F16" s="8">
        <f>SQRT(0^2 + 0^2 + 0^2 + 0^2)</f>
      </c>
    </row>
    <row x14ac:dyDescent="0.25" r="17" customHeight="1" ht="17.25">
      <c r="A17" s="1"/>
      <c r="B17" s="7" t="s">
        <v>218</v>
      </c>
      <c r="C17" s="7" t="s">
        <v>22</v>
      </c>
      <c r="D17" s="7" t="s">
        <v>22</v>
      </c>
      <c r="E17" s="8">
        <f>SQRT(1^2 + 1^2 + 1^2 + 1^2)</f>
      </c>
      <c r="F17" s="8">
        <f>SQRT(1^2 + 1^2 + 1^2 + 1^2)</f>
      </c>
    </row>
    <row x14ac:dyDescent="0.25" r="18" customHeight="1" ht="17.25">
      <c r="A18" s="1"/>
      <c r="B18" s="7" t="s">
        <v>488</v>
      </c>
      <c r="C18" s="7" t="s">
        <v>22</v>
      </c>
      <c r="D18" s="7" t="s">
        <v>22</v>
      </c>
      <c r="E18" s="8">
        <f>SQRT(1^2 + 1^2 + 1^2 + 1^2)</f>
      </c>
      <c r="F18" s="8">
        <f>SQRT(1^2 + 1^2 + 1^2 + 1^2)</f>
      </c>
    </row>
    <row x14ac:dyDescent="0.25" r="19" customHeight="1" ht="17.25">
      <c r="A19" s="1"/>
      <c r="B19" s="7" t="s">
        <v>489</v>
      </c>
      <c r="C19" s="7" t="s">
        <v>489</v>
      </c>
      <c r="D19" s="7" t="s">
        <v>489</v>
      </c>
      <c r="E19" s="8">
        <f>SQRT(0^2 + 0^2 + 0^2 + 0^2)</f>
      </c>
      <c r="F19" s="8">
        <f>SQRT(0^2 + 0^2 + 0^2 + 0^2)</f>
      </c>
    </row>
    <row x14ac:dyDescent="0.25" r="20" customHeight="1" ht="17.25">
      <c r="A20" s="1"/>
      <c r="B20" s="7" t="s">
        <v>490</v>
      </c>
      <c r="C20" s="7" t="s">
        <v>490</v>
      </c>
      <c r="D20" s="7" t="s">
        <v>490</v>
      </c>
      <c r="E20" s="8">
        <f>SQRT(0^2 + 0^2 + 0^2 + 0^2)</f>
      </c>
      <c r="F20" s="8">
        <f>SQRT(0^2 + 0^2 + 0^2 + 1^2)</f>
      </c>
    </row>
    <row x14ac:dyDescent="0.25" r="21" customHeight="1" ht="17.25">
      <c r="A21" s="1"/>
      <c r="B21" s="7" t="s">
        <v>491</v>
      </c>
      <c r="C21" s="7" t="s">
        <v>491</v>
      </c>
      <c r="D21" s="7" t="s">
        <v>492</v>
      </c>
      <c r="E21" s="8">
        <f>SQRT(0^2 + 0^2 + 0^2 + 0^2)</f>
      </c>
      <c r="F21" s="8">
        <f>SQRT(0^2 + 0^2 + 0^2 + 0^2)</f>
      </c>
    </row>
    <row x14ac:dyDescent="0.25" r="22" customHeight="1" ht="17.25">
      <c r="A22" s="1"/>
      <c r="B22" s="7" t="s">
        <v>493</v>
      </c>
      <c r="C22" s="7" t="s">
        <v>494</v>
      </c>
      <c r="D22" s="7" t="s">
        <v>493</v>
      </c>
      <c r="E22" s="8">
        <f>SQRT(0^2 + 0^2 + 0^2 + 1^2)</f>
      </c>
      <c r="F22" s="8">
        <f>SQRT(0^2 + 0^2 + 0^2 + 0^2)</f>
      </c>
    </row>
    <row x14ac:dyDescent="0.25" r="23" customHeight="1" ht="17.25">
      <c r="A23" s="1"/>
      <c r="B23" s="7" t="s">
        <v>495</v>
      </c>
      <c r="C23" s="7" t="s">
        <v>22</v>
      </c>
      <c r="D23" s="7" t="s">
        <v>495</v>
      </c>
      <c r="E23" s="8">
        <f>SQRT(1^2 + 1^2 + 1^2 + 1^2)</f>
      </c>
      <c r="F23" s="8">
        <f>SQRT(0^2 + 0^2 + 0^2 + 0^2)</f>
      </c>
    </row>
    <row x14ac:dyDescent="0.25" r="24" customHeight="1" ht="17.25">
      <c r="A24" s="1"/>
      <c r="B24" s="7" t="s">
        <v>496</v>
      </c>
      <c r="C24" s="7" t="s">
        <v>497</v>
      </c>
      <c r="D24" s="7" t="s">
        <v>22</v>
      </c>
      <c r="E24" s="8">
        <f>SQRT(0^2 + 0^2 + 0^2 + 1^2)</f>
      </c>
      <c r="F24" s="8">
        <f>SQRT(1^2 + 1^2 + 1^2 + 1^2)</f>
      </c>
    </row>
    <row x14ac:dyDescent="0.25" r="25" customHeight="1" ht="17.25">
      <c r="A25" s="1"/>
      <c r="B25" s="7" t="s">
        <v>498</v>
      </c>
      <c r="C25" s="7" t="s">
        <v>22</v>
      </c>
      <c r="D25" s="7" t="s">
        <v>22</v>
      </c>
      <c r="E25" s="8">
        <f>SQRT(1^2 + 1^2 + 1^2 + 1^2)</f>
      </c>
      <c r="F25" s="8">
        <f>SQRT(1^2 + 1^2 + 1^2 + 1^2)</f>
      </c>
    </row>
    <row x14ac:dyDescent="0.25" r="26" customHeight="1" ht="17.25">
      <c r="A26" s="1"/>
      <c r="B26" s="7" t="s">
        <v>22</v>
      </c>
      <c r="C26" s="7" t="s">
        <v>499</v>
      </c>
      <c r="D26" s="7" t="s">
        <v>22</v>
      </c>
      <c r="E26" s="8">
        <f>SQRT(1^2 + 1^2 + 1^2 + 1^2)</f>
      </c>
      <c r="F26" s="8">
        <f>SQRT(0^2 + 0^2 + 0^2 + 0^2)</f>
      </c>
    </row>
    <row x14ac:dyDescent="0.25" r="27" customHeight="1" ht="17.25">
      <c r="A27" s="1"/>
      <c r="B27" s="7" t="s">
        <v>22</v>
      </c>
      <c r="C27" s="7" t="s">
        <v>500</v>
      </c>
      <c r="D27" s="7" t="s">
        <v>22</v>
      </c>
      <c r="E27" s="8">
        <f>SQRT(1^2 + 1^2 + 1^2 + 1^2)</f>
      </c>
      <c r="F27" s="8">
        <f>SQRT(0^2 + 0^2 + 0^2 + 0^2)</f>
      </c>
    </row>
    <row x14ac:dyDescent="0.25" r="28" customHeight="1" ht="17.25">
      <c r="A28" s="1"/>
      <c r="B28" s="7" t="s">
        <v>22</v>
      </c>
      <c r="C28" s="7" t="s">
        <v>22</v>
      </c>
      <c r="D28" s="7" t="s">
        <v>501</v>
      </c>
      <c r="E28" s="8">
        <f>SQRT(0^2 + 0^2 + 0^2 + 0^2)</f>
      </c>
      <c r="F28" s="8">
        <f>SQRT(1^2 + 1^2 + 1^2 + 1^2)</f>
      </c>
    </row>
    <row x14ac:dyDescent="0.25" r="29" customHeight="1" ht="17.25">
      <c r="A29" s="1"/>
      <c r="B29" s="1"/>
      <c r="C29" s="1"/>
      <c r="D29" s="19"/>
      <c r="E29" s="3"/>
      <c r="F29" s="2"/>
    </row>
    <row x14ac:dyDescent="0.25" r="30" customHeight="1" ht="17.25">
      <c r="A30" s="1"/>
      <c r="B30" s="1"/>
      <c r="C30" s="1"/>
      <c r="D30" s="19"/>
      <c r="E30" s="3"/>
      <c r="F30" s="2"/>
    </row>
    <row x14ac:dyDescent="0.25" r="31" customHeight="1" ht="17.25">
      <c r="A31" s="1"/>
      <c r="B31" s="1"/>
      <c r="C31" s="1"/>
      <c r="D31" s="7" t="s">
        <v>82</v>
      </c>
      <c r="E31" s="10">
        <f>SQRT(SUMSQ(E3:E28))</f>
      </c>
      <c r="F31" s="8">
        <f>SQRT(SUMSQ(F3:F28))</f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0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4.43357142857143" customWidth="1" bestFit="1"/>
    <col min="3" max="3" style="11" width="36.005" customWidth="1" bestFit="1"/>
    <col min="4" max="4" style="20" width="33.71928571428572" customWidth="1" bestFit="1"/>
    <col min="5" max="5" style="14" width="13.43357142857143" customWidth="1" bestFit="1"/>
    <col min="6" max="6" style="13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4" t="s">
        <v>16</v>
      </c>
    </row>
    <row x14ac:dyDescent="0.25" r="3" customHeight="1" ht="17.25">
      <c r="A3" s="1"/>
      <c r="B3" s="7" t="s">
        <v>353</v>
      </c>
      <c r="C3" s="7" t="s">
        <v>353</v>
      </c>
      <c r="D3" s="7" t="s">
        <v>353</v>
      </c>
      <c r="E3" s="8">
        <f>0</f>
      </c>
      <c r="F3" s="8">
        <f>0</f>
      </c>
    </row>
    <row x14ac:dyDescent="0.25" r="4" customHeight="1" ht="17.25">
      <c r="A4" s="1"/>
      <c r="B4" s="7" t="s">
        <v>354</v>
      </c>
      <c r="C4" s="7" t="s">
        <v>22</v>
      </c>
      <c r="D4" s="7" t="s">
        <v>22</v>
      </c>
      <c r="E4" s="8">
        <f>SQRT(1^2 + 1^2 + 1^2 + 1^2)</f>
      </c>
      <c r="F4" s="8">
        <f>SQRT(1^2 + 1^2 + 1^2 + 1^2)</f>
      </c>
    </row>
    <row x14ac:dyDescent="0.25" r="5" customHeight="1" ht="17.25">
      <c r="A5" s="1"/>
      <c r="B5" s="7" t="s">
        <v>356</v>
      </c>
      <c r="C5" s="7" t="s">
        <v>356</v>
      </c>
      <c r="D5" s="7" t="s">
        <v>356</v>
      </c>
      <c r="E5" s="8">
        <f>SQRT(0^2 + 0^2 + 0^2 + 0^2)</f>
      </c>
      <c r="F5" s="8">
        <f>SQRT(0^2 + 0^2 + 0^2 + 0^2)</f>
      </c>
    </row>
    <row x14ac:dyDescent="0.25" r="6" customHeight="1" ht="17.25">
      <c r="A6" s="1"/>
      <c r="B6" s="7" t="s">
        <v>431</v>
      </c>
      <c r="C6" s="7" t="s">
        <v>431</v>
      </c>
      <c r="D6" s="7" t="s">
        <v>432</v>
      </c>
      <c r="E6" s="8">
        <f>SQRT(0^2 + 0^2 + 0^2 + 0^2)</f>
      </c>
      <c r="F6" s="8">
        <f>SQRT(0^2 + 0^2 + 0^2 + 0^2)</f>
      </c>
    </row>
    <row x14ac:dyDescent="0.25" r="7" customHeight="1" ht="17.25">
      <c r="A7" s="1"/>
      <c r="B7" s="7" t="s">
        <v>46</v>
      </c>
      <c r="C7" s="7" t="s">
        <v>46</v>
      </c>
      <c r="D7" s="7" t="s">
        <v>46</v>
      </c>
      <c r="E7" s="8">
        <f>0</f>
      </c>
      <c r="F7" s="8">
        <f>0</f>
      </c>
    </row>
    <row x14ac:dyDescent="0.25" r="8" customHeight="1" ht="17.25">
      <c r="A8" s="1"/>
      <c r="B8" s="7" t="s">
        <v>408</v>
      </c>
      <c r="C8" s="7" t="s">
        <v>408</v>
      </c>
      <c r="D8" s="7" t="s">
        <v>433</v>
      </c>
      <c r="E8" s="8">
        <f>SQRT(0^2 + 0^2 + 0^2 + 0^2)</f>
      </c>
      <c r="F8" s="8">
        <f>SQRT(0^2 + 0^2 + 0^2 + 0^2)</f>
      </c>
    </row>
    <row x14ac:dyDescent="0.25" r="9" customHeight="1" ht="17.25">
      <c r="A9" s="1"/>
      <c r="B9" s="7" t="s">
        <v>411</v>
      </c>
      <c r="C9" s="7" t="s">
        <v>411</v>
      </c>
      <c r="D9" s="7" t="s">
        <v>411</v>
      </c>
      <c r="E9" s="8">
        <f>SQRT(0^2 + 0^2 + 0^2 + 0^2)</f>
      </c>
      <c r="F9" s="8">
        <f>SQRT(0^2 + 0^2 + 0^2 + 0^2)</f>
      </c>
    </row>
    <row x14ac:dyDescent="0.25" r="10" customHeight="1" ht="17.25">
      <c r="A10" s="1"/>
      <c r="B10" s="7" t="s">
        <v>434</v>
      </c>
      <c r="C10" s="7" t="s">
        <v>435</v>
      </c>
      <c r="D10" s="7" t="s">
        <v>436</v>
      </c>
      <c r="E10" s="10">
        <f>0.5</f>
      </c>
      <c r="F10" s="10">
        <f>0.5</f>
      </c>
    </row>
    <row x14ac:dyDescent="0.25" r="11" customHeight="1" ht="17.25">
      <c r="A11" s="1"/>
      <c r="B11" s="7" t="s">
        <v>437</v>
      </c>
      <c r="C11" s="7" t="s">
        <v>438</v>
      </c>
      <c r="D11" s="7" t="s">
        <v>439</v>
      </c>
      <c r="E11" s="8">
        <f>SQRT(0^2 + 0^2 + 0^2 + 0^2)</f>
      </c>
      <c r="F11" s="8">
        <f>SQRT(0^2 + 0^2 + 0^2 + 0^2)</f>
      </c>
    </row>
    <row x14ac:dyDescent="0.25" r="12" customHeight="1" ht="17.25">
      <c r="A12" s="1"/>
      <c r="B12" s="7" t="s">
        <v>440</v>
      </c>
      <c r="C12" s="7" t="s">
        <v>441</v>
      </c>
      <c r="D12" s="7" t="s">
        <v>442</v>
      </c>
      <c r="E12" s="8">
        <f>SQRT(0^2 + 0^2 + 0^2 + 0^2)</f>
      </c>
      <c r="F12" s="8">
        <f>SQRT(0^2 + 0^2 + 1^2 + 0^2)</f>
      </c>
    </row>
    <row x14ac:dyDescent="0.25" r="13" customHeight="1" ht="17.25">
      <c r="A13" s="1"/>
      <c r="B13" s="7" t="s">
        <v>22</v>
      </c>
      <c r="C13" s="7" t="s">
        <v>443</v>
      </c>
      <c r="D13" s="7" t="s">
        <v>444</v>
      </c>
      <c r="E13" s="8">
        <f>SQRT(1^2 + 1^2 + 1^2 + 1^2)</f>
      </c>
      <c r="F13" s="8">
        <f>SQRT(1^2 + 1^2 + 1^2 + 1^2)</f>
      </c>
    </row>
    <row x14ac:dyDescent="0.25" r="14" customHeight="1" ht="17.25">
      <c r="A14" s="1"/>
      <c r="B14" s="7" t="s">
        <v>445</v>
      </c>
      <c r="C14" s="7" t="s">
        <v>446</v>
      </c>
      <c r="D14" s="7" t="s">
        <v>446</v>
      </c>
      <c r="E14" s="10">
        <f>0.5</f>
      </c>
      <c r="F14" s="10">
        <f>0.5</f>
      </c>
    </row>
    <row x14ac:dyDescent="0.25" r="15" customHeight="1" ht="17.25">
      <c r="A15" s="1"/>
      <c r="B15" s="7" t="s">
        <v>447</v>
      </c>
      <c r="C15" s="7" t="s">
        <v>448</v>
      </c>
      <c r="D15" s="7" t="s">
        <v>448</v>
      </c>
      <c r="E15" s="8">
        <f>SQRT(0^2 + 0^2 + 1^2 + 0^2)</f>
      </c>
      <c r="F15" s="8">
        <f>SQRT(0^2 + 0^2 + 1^2 + 0^2)</f>
      </c>
    </row>
    <row x14ac:dyDescent="0.25" r="16" customHeight="1" ht="17.25">
      <c r="A16" s="1"/>
      <c r="B16" s="7" t="s">
        <v>449</v>
      </c>
      <c r="C16" s="7" t="s">
        <v>449</v>
      </c>
      <c r="D16" s="7" t="s">
        <v>449</v>
      </c>
      <c r="E16" s="8">
        <f>0</f>
      </c>
      <c r="F16" s="8">
        <f>0</f>
      </c>
    </row>
    <row x14ac:dyDescent="0.25" r="17" customHeight="1" ht="17.25">
      <c r="A17" s="1"/>
      <c r="B17" s="7" t="s">
        <v>450</v>
      </c>
      <c r="C17" s="7" t="s">
        <v>451</v>
      </c>
      <c r="D17" s="7" t="s">
        <v>451</v>
      </c>
      <c r="E17" s="8">
        <f>SQRT(0^2 + 0^2 + 0^2 + 0^2)</f>
      </c>
      <c r="F17" s="8">
        <f>SQRT(0^2 + 0^2 + 0^2 + 0^2)</f>
      </c>
    </row>
    <row x14ac:dyDescent="0.25" r="18" customHeight="1" ht="17.25">
      <c r="A18" s="1"/>
      <c r="B18" s="7" t="s">
        <v>452</v>
      </c>
      <c r="C18" s="7" t="s">
        <v>452</v>
      </c>
      <c r="D18" s="7" t="s">
        <v>453</v>
      </c>
      <c r="E18" s="8">
        <f>SQRT(0^2 + 0^2 + 0^2 + 0^2)</f>
      </c>
      <c r="F18" s="8">
        <f>SQRT(0^2 + 0^2 + 1^2 + 0^2)</f>
      </c>
    </row>
    <row x14ac:dyDescent="0.25" r="19" customHeight="1" ht="17.25">
      <c r="A19" s="1"/>
      <c r="B19" s="7" t="s">
        <v>22</v>
      </c>
      <c r="C19" s="7" t="s">
        <v>22</v>
      </c>
      <c r="D19" s="7" t="s">
        <v>454</v>
      </c>
      <c r="E19" s="8">
        <f>SQRT(0^2 + 0^2 + 0^2 + 0^2)</f>
      </c>
      <c r="F19" s="8">
        <f>SQRT(1^2 + 1^2 + 1^2 + 1^2)</f>
      </c>
    </row>
    <row x14ac:dyDescent="0.25" r="20" customHeight="1" ht="17.25">
      <c r="A20" s="1"/>
      <c r="B20" s="7" t="s">
        <v>455</v>
      </c>
      <c r="C20" s="7" t="s">
        <v>455</v>
      </c>
      <c r="D20" s="7" t="s">
        <v>22</v>
      </c>
      <c r="E20" s="8">
        <f>0</f>
      </c>
      <c r="F20" s="8">
        <f>SQRT(1^2 + 1^2 + 1^2 + 1^2)</f>
      </c>
    </row>
    <row x14ac:dyDescent="0.25" r="21" customHeight="1" ht="17.25">
      <c r="A21" s="1"/>
      <c r="B21" s="7" t="s">
        <v>456</v>
      </c>
      <c r="C21" s="7" t="s">
        <v>456</v>
      </c>
      <c r="D21" s="7" t="s">
        <v>22</v>
      </c>
      <c r="E21" s="8">
        <f>SQRT(0^2 + 0^2 + 0^2 + 0^2)</f>
      </c>
      <c r="F21" s="8">
        <f>SQRT(1^2 + 1^2 + 1^2 + 1^2)</f>
      </c>
    </row>
    <row x14ac:dyDescent="0.25" r="22" customHeight="1" ht="17.25">
      <c r="A22" s="1"/>
      <c r="B22" s="7" t="s">
        <v>457</v>
      </c>
      <c r="C22" s="7" t="s">
        <v>457</v>
      </c>
      <c r="D22" s="7" t="s">
        <v>457</v>
      </c>
      <c r="E22" s="8">
        <f>SQRT(0^2 + 0^2 + 0^2 + 0^2)</f>
      </c>
      <c r="F22" s="8">
        <f>SQRT(0^2 + 0^2 + 0^2 + 0^2)</f>
      </c>
    </row>
    <row x14ac:dyDescent="0.25" r="23" customHeight="1" ht="17.25">
      <c r="A23" s="1"/>
      <c r="B23" s="7" t="s">
        <v>458</v>
      </c>
      <c r="C23" s="7" t="s">
        <v>459</v>
      </c>
      <c r="D23" s="7" t="s">
        <v>460</v>
      </c>
      <c r="E23" s="8">
        <f>SQRT(0^2 + 0^2 + 0^2 + 0^2)</f>
      </c>
      <c r="F23" s="8">
        <f>SQRT(0^2 + 0^2 + 0^2 + 0^2)</f>
      </c>
    </row>
    <row x14ac:dyDescent="0.25" r="24" customHeight="1" ht="17.25">
      <c r="A24" s="1"/>
      <c r="B24" s="7" t="s">
        <v>461</v>
      </c>
      <c r="C24" s="7" t="s">
        <v>462</v>
      </c>
      <c r="D24" s="7" t="s">
        <v>463</v>
      </c>
      <c r="E24" s="8">
        <f>SQRT(0^2 + 0^2 + 0^2 + 0^2)</f>
      </c>
      <c r="F24" s="8">
        <f>SQRT(0^2 + 0^2 + 0^2 + 0^2)</f>
      </c>
    </row>
    <row x14ac:dyDescent="0.25" r="25" customHeight="1" ht="17.25">
      <c r="A25" s="1"/>
      <c r="B25" s="7" t="s">
        <v>464</v>
      </c>
      <c r="C25" s="7" t="s">
        <v>465</v>
      </c>
      <c r="D25" s="7" t="s">
        <v>466</v>
      </c>
      <c r="E25" s="8">
        <f>SQRT(0^2 + 0^2 + 0^2 + 0^2)</f>
      </c>
      <c r="F25" s="8">
        <f>SQRT(0^2 + 0^2 + 0^2 + 1^2)</f>
      </c>
    </row>
    <row x14ac:dyDescent="0.25" r="26" customHeight="1" ht="17.25">
      <c r="A26" s="1"/>
      <c r="B26" s="7" t="s">
        <v>467</v>
      </c>
      <c r="C26" s="7" t="s">
        <v>467</v>
      </c>
      <c r="D26" s="7" t="s">
        <v>22</v>
      </c>
      <c r="E26" s="8">
        <f>SQRT(0^2 + 0^2 + 0^2 + 0^2)</f>
      </c>
      <c r="F26" s="8">
        <f>SQRT(1^2 + 1^2 + 1^2 + 1^2)</f>
      </c>
    </row>
    <row x14ac:dyDescent="0.25" r="27" customHeight="1" ht="17.25">
      <c r="A27" s="1"/>
      <c r="B27" s="7" t="s">
        <v>22</v>
      </c>
      <c r="C27" s="7" t="s">
        <v>468</v>
      </c>
      <c r="D27" s="7" t="s">
        <v>22</v>
      </c>
      <c r="E27" s="8">
        <f>SQRT(1^2 + 1^2 + 1^2 + 1^2)</f>
      </c>
      <c r="F27" s="8">
        <v>0</v>
      </c>
    </row>
    <row x14ac:dyDescent="0.25" r="28" customHeight="1" ht="17.25">
      <c r="A28" s="1"/>
      <c r="B28" s="1"/>
      <c r="C28" s="1"/>
      <c r="D28" s="19"/>
      <c r="E28" s="3"/>
      <c r="F28" s="3"/>
    </row>
    <row x14ac:dyDescent="0.25" r="29" customHeight="1" ht="17.25">
      <c r="A29" s="1"/>
      <c r="B29" s="1"/>
      <c r="C29" s="1"/>
      <c r="D29" s="19"/>
      <c r="E29" s="3"/>
      <c r="F29" s="3"/>
    </row>
    <row x14ac:dyDescent="0.25" r="30" customHeight="1" ht="17.25">
      <c r="A30" s="1"/>
      <c r="B30" s="1"/>
      <c r="C30" s="1"/>
      <c r="D30" s="7" t="s">
        <v>82</v>
      </c>
      <c r="E30" s="10">
        <f>SQRT(SUMSQ(E3:E27))</f>
      </c>
      <c r="F30" s="10">
        <f>SQRT(SUMSQ(F3:F27))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0.14785714285714" customWidth="1" bestFit="1"/>
    <col min="3" max="3" style="11" width="29.14785714285714" customWidth="1" bestFit="1"/>
    <col min="4" max="4" style="20" width="30.147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184</v>
      </c>
      <c r="C3" s="7" t="s">
        <v>22</v>
      </c>
      <c r="D3" s="7" t="s">
        <v>22</v>
      </c>
      <c r="E3" s="8">
        <f>1</f>
      </c>
      <c r="F3" s="8">
        <f>1</f>
      </c>
    </row>
    <row x14ac:dyDescent="0.25" r="4" customHeight="1" ht="17.25">
      <c r="A4" s="1"/>
      <c r="B4" s="7" t="s">
        <v>379</v>
      </c>
      <c r="C4" s="7" t="s">
        <v>380</v>
      </c>
      <c r="D4" s="7" t="s">
        <v>381</v>
      </c>
      <c r="E4" s="8">
        <f>SQRT(0^2 + 0^2 + 0^2 + 0^2)</f>
      </c>
      <c r="F4" s="8">
        <f>SQRT(0^2 + 0^2 + 1^2 + 0^2)</f>
      </c>
    </row>
    <row x14ac:dyDescent="0.25" r="5" customHeight="1" ht="17.25">
      <c r="A5" s="1"/>
      <c r="B5" s="7" t="s">
        <v>382</v>
      </c>
      <c r="C5" s="7" t="s">
        <v>383</v>
      </c>
      <c r="D5" s="7" t="s">
        <v>22</v>
      </c>
      <c r="E5" s="8">
        <f>SQRT(0^2 + 0^2 + 0^2 + 0^2)</f>
      </c>
      <c r="F5" s="8">
        <f>SQRT(1^2 + 1^2 + 1^2 + 1^2)</f>
      </c>
    </row>
    <row x14ac:dyDescent="0.25" r="6" customHeight="1" ht="17.25">
      <c r="A6" s="1"/>
      <c r="B6" s="7" t="s">
        <v>384</v>
      </c>
      <c r="C6" s="7" t="s">
        <v>385</v>
      </c>
      <c r="D6" s="7" t="s">
        <v>385</v>
      </c>
      <c r="E6" s="8">
        <f>SQRT(0^2 + 0^2 + 0^2 + 0^2)</f>
      </c>
      <c r="F6" s="8">
        <f>SQRT(0^2 + 0^2 + 0^2 + 0^2)</f>
      </c>
    </row>
    <row x14ac:dyDescent="0.25" r="7" customHeight="1" ht="17.25">
      <c r="A7" s="1"/>
      <c r="B7" s="7" t="s">
        <v>188</v>
      </c>
      <c r="C7" s="7" t="s">
        <v>188</v>
      </c>
      <c r="D7" s="7" t="s">
        <v>188</v>
      </c>
      <c r="E7" s="8">
        <f>0</f>
      </c>
      <c r="F7" s="8">
        <f>0</f>
      </c>
    </row>
    <row x14ac:dyDescent="0.25" r="8" customHeight="1" ht="17.25">
      <c r="A8" s="1"/>
      <c r="B8" s="7" t="s">
        <v>386</v>
      </c>
      <c r="C8" s="7" t="s">
        <v>386</v>
      </c>
      <c r="D8" s="7" t="s">
        <v>387</v>
      </c>
      <c r="E8" s="8">
        <f>SQRT(0^2 + 0^2 + 0^2 + 0^2)</f>
      </c>
      <c r="F8" s="8">
        <f>SQRT(0^2 + 0^2 + 0^2 + 0^2)</f>
      </c>
    </row>
    <row x14ac:dyDescent="0.25" r="9" customHeight="1" ht="17.25">
      <c r="A9" s="1"/>
      <c r="B9" s="7" t="s">
        <v>388</v>
      </c>
      <c r="C9" s="7" t="s">
        <v>388</v>
      </c>
      <c r="D9" s="7" t="s">
        <v>388</v>
      </c>
      <c r="E9" s="8">
        <f>SQRT(0^2 + 0^2 + 0^2 + 0^2)</f>
      </c>
      <c r="F9" s="8">
        <f>SQRT(0^2 + 0^2 + 0^2 + 0^2)</f>
      </c>
    </row>
    <row x14ac:dyDescent="0.25" r="10" customHeight="1" ht="17.25">
      <c r="A10" s="1"/>
      <c r="B10" s="7" t="s">
        <v>22</v>
      </c>
      <c r="C10" s="7" t="s">
        <v>333</v>
      </c>
      <c r="D10" s="7" t="s">
        <v>333</v>
      </c>
      <c r="E10" s="8">
        <f>SQRT(1^2 + 1^2 + 1^2 + 1^2)</f>
      </c>
      <c r="F10" s="8">
        <f>SQRT(1^2 + 1^2 + 1^2 + 1^2)</f>
      </c>
    </row>
    <row x14ac:dyDescent="0.25" r="11" customHeight="1" ht="17.25">
      <c r="A11" s="1"/>
      <c r="B11" s="7" t="s">
        <v>389</v>
      </c>
      <c r="C11" s="7" t="s">
        <v>389</v>
      </c>
      <c r="D11" s="7" t="s">
        <v>389</v>
      </c>
      <c r="E11" s="8">
        <f>0</f>
      </c>
      <c r="F11" s="8">
        <f>0</f>
      </c>
    </row>
    <row x14ac:dyDescent="0.25" r="12" customHeight="1" ht="17.25">
      <c r="A12" s="1"/>
      <c r="B12" s="7" t="s">
        <v>390</v>
      </c>
      <c r="C12" s="7" t="s">
        <v>390</v>
      </c>
      <c r="D12" s="7" t="s">
        <v>391</v>
      </c>
      <c r="E12" s="8">
        <f>SQRT(0^2 + 0^2 + 0^2 + 0^2)</f>
      </c>
      <c r="F12" s="8">
        <f>SQRT(0^2 + 0^2 + 0^2 + 0^2)</f>
      </c>
    </row>
    <row x14ac:dyDescent="0.25" r="13" customHeight="1" ht="17.25">
      <c r="A13" s="1"/>
      <c r="B13" s="7" t="s">
        <v>392</v>
      </c>
      <c r="C13" s="7" t="s">
        <v>392</v>
      </c>
      <c r="D13" s="7" t="s">
        <v>22</v>
      </c>
      <c r="E13" s="8">
        <f>0</f>
      </c>
      <c r="F13" s="8">
        <f>1</f>
      </c>
    </row>
    <row x14ac:dyDescent="0.25" r="14" customHeight="1" ht="17.25">
      <c r="A14" s="1"/>
      <c r="B14" s="7" t="s">
        <v>393</v>
      </c>
      <c r="C14" s="7" t="s">
        <v>393</v>
      </c>
      <c r="D14" s="7" t="s">
        <v>394</v>
      </c>
      <c r="E14" s="8">
        <f>SQRT(0^2 + 0^2 + 0^2 + 0^2)</f>
      </c>
      <c r="F14" s="10">
        <f>SQRT(0^2 + 0^2 + 1^2 + 1^2)</f>
      </c>
    </row>
    <row x14ac:dyDescent="0.25" r="15" customHeight="1" ht="17.25">
      <c r="A15" s="1"/>
      <c r="B15" s="7" t="s">
        <v>395</v>
      </c>
      <c r="C15" s="7" t="s">
        <v>395</v>
      </c>
      <c r="D15" s="7" t="s">
        <v>395</v>
      </c>
      <c r="E15" s="8">
        <f>0</f>
      </c>
      <c r="F15" s="8">
        <f>0</f>
      </c>
    </row>
    <row x14ac:dyDescent="0.25" r="16" customHeight="1" ht="17.25">
      <c r="A16" s="1"/>
      <c r="B16" s="7" t="s">
        <v>396</v>
      </c>
      <c r="C16" s="7" t="s">
        <v>397</v>
      </c>
      <c r="D16" s="7" t="s">
        <v>397</v>
      </c>
      <c r="E16" s="8">
        <f>SQRT(0^2 + 0^2 + 0^2 + 0^2)</f>
      </c>
      <c r="F16" s="8">
        <f>SQRT(0^2 + 0^2 + 0^2 + 0^2)</f>
      </c>
    </row>
    <row x14ac:dyDescent="0.25" r="17" customHeight="1" ht="17.25">
      <c r="A17" s="1"/>
      <c r="B17" s="7" t="s">
        <v>398</v>
      </c>
      <c r="C17" s="7" t="s">
        <v>398</v>
      </c>
      <c r="D17" s="7" t="s">
        <v>398</v>
      </c>
      <c r="E17" s="8">
        <f>SQRT(0^2 + 0^2 + 0^2 + 0^2)</f>
      </c>
      <c r="F17" s="8">
        <f>SQRT(0^2 + 0^2 + 0^2 + 0^2)</f>
      </c>
    </row>
    <row x14ac:dyDescent="0.25" r="18" customHeight="1" ht="17.25">
      <c r="A18" s="1"/>
      <c r="B18" s="7" t="s">
        <v>399</v>
      </c>
      <c r="C18" s="7" t="s">
        <v>399</v>
      </c>
      <c r="D18" s="7" t="s">
        <v>399</v>
      </c>
      <c r="E18" s="8">
        <f>SQRT(0^2 + 0^2 + 0^2 + 0^2)</f>
      </c>
      <c r="F18" s="8">
        <f>SQRT(0^2 + 0^2 + 0^2 + 0^2)</f>
      </c>
    </row>
    <row x14ac:dyDescent="0.25" r="19" customHeight="1" ht="17.25">
      <c r="A19" s="1"/>
      <c r="B19" s="7" t="s">
        <v>400</v>
      </c>
      <c r="C19" s="7" t="s">
        <v>400</v>
      </c>
      <c r="D19" s="7" t="s">
        <v>400</v>
      </c>
      <c r="E19" s="8">
        <f>SQRT(0^2 + 0^2 + 0^2 + 0^2)</f>
      </c>
      <c r="F19" s="8">
        <f>SQRT(0^2 + 0^2 + 0^2 + 0^2)</f>
      </c>
    </row>
    <row x14ac:dyDescent="0.25" r="20" customHeight="1" ht="17.25">
      <c r="A20" s="1"/>
      <c r="B20" s="7" t="s">
        <v>401</v>
      </c>
      <c r="C20" s="7" t="s">
        <v>401</v>
      </c>
      <c r="D20" s="7" t="s">
        <v>401</v>
      </c>
      <c r="E20" s="8">
        <f>0</f>
      </c>
      <c r="F20" s="8">
        <f>0</f>
      </c>
    </row>
    <row x14ac:dyDescent="0.25" r="21" customHeight="1" ht="17.25">
      <c r="A21" s="1"/>
      <c r="B21" s="7" t="s">
        <v>402</v>
      </c>
      <c r="C21" s="7" t="s">
        <v>402</v>
      </c>
      <c r="D21" s="7" t="s">
        <v>402</v>
      </c>
      <c r="E21" s="8">
        <f>SQRT(0^2 + 0^2 + 0^2 + 0^2)</f>
      </c>
      <c r="F21" s="8">
        <f>SQRT(0^2 + 0^2 + 0^2 + 0^2)</f>
      </c>
    </row>
    <row x14ac:dyDescent="0.25" r="22" customHeight="1" ht="17.25">
      <c r="A22" s="1"/>
      <c r="B22" s="7" t="s">
        <v>403</v>
      </c>
      <c r="C22" s="7" t="s">
        <v>403</v>
      </c>
      <c r="D22" s="7" t="s">
        <v>403</v>
      </c>
      <c r="E22" s="8">
        <f>SQRT(0^2 + 0^2 + 0^2 + 0^2)</f>
      </c>
      <c r="F22" s="8">
        <f>SQRT(0^2 + 0^2 + 0^2 + 0^2)</f>
      </c>
    </row>
    <row x14ac:dyDescent="0.25" r="23" customHeight="1" ht="17.25">
      <c r="A23" s="1"/>
      <c r="B23" s="7" t="s">
        <v>59</v>
      </c>
      <c r="C23" s="7" t="s">
        <v>59</v>
      </c>
      <c r="D23" s="7" t="s">
        <v>59</v>
      </c>
      <c r="E23" s="8">
        <f>0</f>
      </c>
      <c r="F23" s="8">
        <f>0</f>
      </c>
    </row>
    <row x14ac:dyDescent="0.25" r="24" customHeight="1" ht="17.25">
      <c r="A24" s="1"/>
      <c r="B24" s="7" t="s">
        <v>404</v>
      </c>
      <c r="C24" s="7" t="s">
        <v>404</v>
      </c>
      <c r="D24" s="7" t="s">
        <v>404</v>
      </c>
      <c r="E24" s="8">
        <f>SQRT(0^2 + 0^2 + 0^2 + 0^2)</f>
      </c>
      <c r="F24" s="8">
        <f>SQRT(0^2 + 0^2 + 0^2 + 0^2)</f>
      </c>
    </row>
    <row x14ac:dyDescent="0.25" r="25" customHeight="1" ht="17.25">
      <c r="A25" s="1"/>
      <c r="B25" s="7" t="s">
        <v>405</v>
      </c>
      <c r="C25" s="7" t="s">
        <v>405</v>
      </c>
      <c r="D25" s="7" t="s">
        <v>22</v>
      </c>
      <c r="E25" s="8">
        <f>SQRT(0^2 + 0^2 + 0^2 + 0^2)</f>
      </c>
      <c r="F25" s="8">
        <f>SQRT(1^2 + 1^2 + 1^2 + 1^2)</f>
      </c>
    </row>
    <row x14ac:dyDescent="0.25" r="26" customHeight="1" ht="17.25">
      <c r="A26" s="1"/>
      <c r="B26" s="7" t="s">
        <v>406</v>
      </c>
      <c r="C26" s="7" t="s">
        <v>46</v>
      </c>
      <c r="D26" s="7" t="s">
        <v>406</v>
      </c>
      <c r="E26" s="10">
        <f> 0.5</f>
      </c>
      <c r="F26" s="8">
        <f>0</f>
      </c>
    </row>
    <row x14ac:dyDescent="0.25" r="27" customHeight="1" ht="17.25">
      <c r="A27" s="1"/>
      <c r="B27" s="7" t="s">
        <v>407</v>
      </c>
      <c r="C27" s="7" t="s">
        <v>408</v>
      </c>
      <c r="D27" s="7" t="s">
        <v>409</v>
      </c>
      <c r="E27" s="8">
        <f>SQRT(0^2 + 0^2 + 0^2 + 0^2)</f>
      </c>
      <c r="F27" s="8">
        <f>SQRT(0^2 + 0^2 + 0^2 + 0^2)</f>
      </c>
    </row>
    <row x14ac:dyDescent="0.25" r="28" customHeight="1" ht="17.25">
      <c r="A28" s="1"/>
      <c r="B28" s="7" t="s">
        <v>410</v>
      </c>
      <c r="C28" s="7" t="s">
        <v>411</v>
      </c>
      <c r="D28" s="7" t="s">
        <v>412</v>
      </c>
      <c r="E28" s="8">
        <f>SQRT(0^2 + 0^2 + 0^2 + 0^2)</f>
      </c>
      <c r="F28" s="8">
        <f>SQRT(0^2 + 0^2 + 0^2 + 0^2)</f>
      </c>
    </row>
    <row x14ac:dyDescent="0.25" r="29" customHeight="1" ht="17.25">
      <c r="A29" s="1"/>
      <c r="B29" s="7" t="s">
        <v>413</v>
      </c>
      <c r="C29" s="7" t="s">
        <v>414</v>
      </c>
      <c r="D29" s="7" t="s">
        <v>415</v>
      </c>
      <c r="E29" s="8">
        <f>SQRT(0^2 + 0^2 + 0^2 + 0^2)</f>
      </c>
      <c r="F29" s="8">
        <f>SQRT(0^2 + 0^2 + 0^2 + 0^2)</f>
      </c>
    </row>
    <row x14ac:dyDescent="0.25" r="30" customHeight="1" ht="17.25">
      <c r="A30" s="1"/>
      <c r="B30" s="7" t="s">
        <v>416</v>
      </c>
      <c r="C30" s="7" t="s">
        <v>417</v>
      </c>
      <c r="D30" s="7" t="s">
        <v>418</v>
      </c>
      <c r="E30" s="8">
        <f>SQRT(0^2 + 0^2 + 0^2 + 0^2)</f>
      </c>
      <c r="F30" s="8">
        <f>SQRT(0^2 + 0^2 + 0^2 + 0^2)</f>
      </c>
    </row>
    <row x14ac:dyDescent="0.25" r="31" customHeight="1" ht="17.25">
      <c r="A31" s="1"/>
      <c r="B31" s="7" t="s">
        <v>419</v>
      </c>
      <c r="C31" s="7" t="s">
        <v>22</v>
      </c>
      <c r="D31" s="7" t="s">
        <v>22</v>
      </c>
      <c r="E31" s="8">
        <f>SQRT(1^2 + 1^2 + 1^2 + 1^2)</f>
      </c>
      <c r="F31" s="8">
        <f>SQRT(1^2 + 1^2 + 1^2 + 1^2)</f>
      </c>
    </row>
    <row x14ac:dyDescent="0.25" r="32" customHeight="1" ht="17.25">
      <c r="A32" s="1"/>
      <c r="B32" s="7" t="s">
        <v>420</v>
      </c>
      <c r="C32" s="7" t="s">
        <v>22</v>
      </c>
      <c r="D32" s="7" t="s">
        <v>22</v>
      </c>
      <c r="E32" s="8">
        <f>SQRT(1^2 + 1^2 + 1^2 + 1^2)</f>
      </c>
      <c r="F32" s="8">
        <f>SQRT(1^2 + 1^2 + 1^2 + 1^2)</f>
      </c>
    </row>
    <row x14ac:dyDescent="0.25" r="33" customHeight="1" ht="17.25">
      <c r="A33" s="1"/>
      <c r="B33" s="7" t="s">
        <v>421</v>
      </c>
      <c r="C33" s="7" t="s">
        <v>422</v>
      </c>
      <c r="D33" s="7" t="s">
        <v>423</v>
      </c>
      <c r="E33" s="8">
        <f>SQRT(0^2 + 0^2 + 0^2 + 0^2)</f>
      </c>
      <c r="F33" s="8">
        <f>SQRT(0^2 + 0^2 + 0^2 + 0^2)</f>
      </c>
    </row>
    <row x14ac:dyDescent="0.25" r="34" customHeight="1" ht="17.25">
      <c r="A34" s="1"/>
      <c r="B34" s="7" t="s">
        <v>424</v>
      </c>
      <c r="C34" s="7" t="s">
        <v>424</v>
      </c>
      <c r="D34" s="7" t="s">
        <v>22</v>
      </c>
      <c r="E34" s="8">
        <f>SQRT(0^2 + 0^2 + 0^2 + 0^2)</f>
      </c>
      <c r="F34" s="8">
        <f>SQRT(1^2 + 1^2 + 1^2 + 1^2)</f>
      </c>
    </row>
    <row x14ac:dyDescent="0.25" r="35" customHeight="1" ht="17.25">
      <c r="A35" s="1"/>
      <c r="B35" s="7" t="s">
        <v>425</v>
      </c>
      <c r="C35" s="7" t="s">
        <v>425</v>
      </c>
      <c r="D35" s="7" t="s">
        <v>425</v>
      </c>
      <c r="E35" s="8">
        <f>SQRT(0^2 + 0^2 + 0^2 + 0^2)</f>
      </c>
      <c r="F35" s="8">
        <f>SQRT(0^2 + 0^2 + 0^2 + 1^2)</f>
      </c>
    </row>
    <row x14ac:dyDescent="0.25" r="36" customHeight="1" ht="17.25">
      <c r="A36" s="1"/>
      <c r="B36" s="7" t="s">
        <v>426</v>
      </c>
      <c r="C36" s="7" t="s">
        <v>426</v>
      </c>
      <c r="D36" s="7" t="s">
        <v>22</v>
      </c>
      <c r="E36" s="8">
        <f>SQRT(0^2 + 0^2 + 0^2 + 0^2)</f>
      </c>
      <c r="F36" s="8">
        <f>SQRT(1^2 + 1^2 + 1^2 + 1^2)</f>
      </c>
    </row>
    <row x14ac:dyDescent="0.25" r="37" customHeight="1" ht="17.25">
      <c r="A37" s="1"/>
      <c r="B37" s="7" t="s">
        <v>427</v>
      </c>
      <c r="C37" s="7" t="s">
        <v>427</v>
      </c>
      <c r="D37" s="7" t="s">
        <v>427</v>
      </c>
      <c r="E37" s="8">
        <f>SQRT(0^2 + 0^2 + 0^2 + 0^2)</f>
      </c>
      <c r="F37" s="8">
        <f>SQRT(0^2 + 0^2 + 0^2 + 0^2)</f>
      </c>
    </row>
    <row x14ac:dyDescent="0.25" r="38" customHeight="1" ht="17.25">
      <c r="A38" s="1"/>
      <c r="B38" s="7" t="s">
        <v>428</v>
      </c>
      <c r="C38" s="7" t="s">
        <v>429</v>
      </c>
      <c r="D38" s="7" t="s">
        <v>428</v>
      </c>
      <c r="E38" s="8">
        <f>SQRT(0^2 + 0^2 + 0^2 + 0^2)</f>
      </c>
      <c r="F38" s="8">
        <f>SQRT(0^2 + 0^2 + 0^2 + 0^2)</f>
      </c>
    </row>
    <row x14ac:dyDescent="0.25" r="39" customHeight="1" ht="17.25">
      <c r="A39" s="1"/>
      <c r="B39" s="7" t="s">
        <v>22</v>
      </c>
      <c r="C39" s="7" t="s">
        <v>22</v>
      </c>
      <c r="D39" s="7" t="s">
        <v>430</v>
      </c>
      <c r="E39" s="8">
        <f>SQRT(0^2 + 0^2 + 0^2 + 0^2)</f>
      </c>
      <c r="F39" s="8">
        <f>SQRT(1^2 + 1^2 + 1^2 + 1^2)</f>
      </c>
    </row>
    <row x14ac:dyDescent="0.25" r="40" customHeight="1" ht="17.25">
      <c r="A40" s="1"/>
      <c r="B40" s="1"/>
      <c r="C40" s="1"/>
      <c r="D40" s="19"/>
      <c r="E40" s="3"/>
      <c r="F40" s="3"/>
    </row>
    <row x14ac:dyDescent="0.25" r="41" customHeight="1" ht="17.25">
      <c r="A41" s="1"/>
      <c r="B41" s="1"/>
      <c r="C41" s="1"/>
      <c r="D41" s="19"/>
      <c r="E41" s="3"/>
      <c r="F41" s="3"/>
    </row>
    <row x14ac:dyDescent="0.25" r="42" customHeight="1" ht="17.25">
      <c r="A42" s="1"/>
      <c r="B42" s="1"/>
      <c r="C42" s="1"/>
      <c r="D42" s="7" t="s">
        <v>82</v>
      </c>
      <c r="E42" s="10">
        <f>SQRT(SUMSQ(E3:E39))</f>
      </c>
      <c r="F42" s="10">
        <f>SQRT(SUMSQ(F3:F39))</f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9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1.290714285714284" customWidth="1" bestFit="1"/>
    <col min="3" max="3" style="11" width="31.290714285714284" customWidth="1" bestFit="1"/>
    <col min="4" max="4" style="20" width="31.290714285714284" customWidth="1" bestFit="1"/>
    <col min="5" max="5" style="13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2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4" t="s">
        <v>15</v>
      </c>
      <c r="F2" s="6" t="s">
        <v>16</v>
      </c>
    </row>
    <row x14ac:dyDescent="0.25" r="3" customHeight="1" ht="17.25">
      <c r="A3" s="1"/>
      <c r="B3" s="7" t="s">
        <v>188</v>
      </c>
      <c r="C3" s="7" t="s">
        <v>188</v>
      </c>
      <c r="D3" s="7" t="s">
        <v>188</v>
      </c>
      <c r="E3" s="8">
        <f>0</f>
      </c>
      <c r="F3" s="8">
        <f>0</f>
      </c>
    </row>
    <row x14ac:dyDescent="0.25" r="4" customHeight="1" ht="17.25">
      <c r="A4" s="1"/>
      <c r="B4" s="7" t="s">
        <v>331</v>
      </c>
      <c r="C4" s="7" t="s">
        <v>331</v>
      </c>
      <c r="D4" s="7" t="s">
        <v>331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332</v>
      </c>
      <c r="C5" s="7" t="s">
        <v>332</v>
      </c>
      <c r="D5" s="7" t="s">
        <v>332</v>
      </c>
      <c r="E5" s="8">
        <f>SQRT(0^2 + 0^2 + 0^2 + 0^2)</f>
      </c>
      <c r="F5" s="8">
        <f>SQRT(0^2 + 0^2 + 0^2 + 0^2)</f>
      </c>
    </row>
    <row x14ac:dyDescent="0.25" r="6" customHeight="1" ht="17.25">
      <c r="A6" s="1"/>
      <c r="B6" s="7" t="s">
        <v>333</v>
      </c>
      <c r="C6" s="7" t="s">
        <v>333</v>
      </c>
      <c r="D6" s="7" t="s">
        <v>333</v>
      </c>
      <c r="E6" s="8">
        <f>SQRT(0^2 + 0^2 + 0^2 + 0^2)</f>
      </c>
      <c r="F6" s="8">
        <f>SQRT(0^2 + 0^2 + 0^2 + 0^2)</f>
      </c>
    </row>
    <row x14ac:dyDescent="0.25" r="7" customHeight="1" ht="17.25">
      <c r="A7" s="1"/>
      <c r="B7" s="7" t="s">
        <v>334</v>
      </c>
      <c r="C7" s="7" t="s">
        <v>334</v>
      </c>
      <c r="D7" s="7" t="s">
        <v>334</v>
      </c>
      <c r="E7" s="8">
        <f>SQRT(0^2 + 0^2 + 0^2 + 0^2)</f>
      </c>
      <c r="F7" s="8">
        <f>SQRT(0^2 + 0^2 + 0^2 + 0^2)</f>
      </c>
    </row>
    <row x14ac:dyDescent="0.25" r="8" customHeight="1" ht="17.25">
      <c r="A8" s="1"/>
      <c r="B8" s="7" t="s">
        <v>335</v>
      </c>
      <c r="C8" s="7" t="s">
        <v>335</v>
      </c>
      <c r="D8" s="7" t="s">
        <v>335</v>
      </c>
      <c r="E8" s="8">
        <f>0</f>
      </c>
      <c r="F8" s="8">
        <f>0</f>
      </c>
    </row>
    <row x14ac:dyDescent="0.25" r="9" customHeight="1" ht="17.25">
      <c r="A9" s="1"/>
      <c r="B9" s="7" t="s">
        <v>336</v>
      </c>
      <c r="C9" s="7" t="s">
        <v>336</v>
      </c>
      <c r="D9" s="7" t="s">
        <v>337</v>
      </c>
      <c r="E9" s="8">
        <f>SQRT(0^2 + 0^2 + 0^2 + 0^2)</f>
      </c>
      <c r="F9" s="8">
        <f>SQRT(0^2 + 0^2 + 1^2 + 0^2)</f>
      </c>
    </row>
    <row x14ac:dyDescent="0.25" r="10" customHeight="1" ht="17.25">
      <c r="A10" s="1"/>
      <c r="B10" s="7" t="s">
        <v>338</v>
      </c>
      <c r="C10" s="7" t="s">
        <v>338</v>
      </c>
      <c r="D10" s="7" t="s">
        <v>22</v>
      </c>
      <c r="E10" s="8">
        <f>SQRT(0^2 + 0^2 + 0^2 + 0^2)</f>
      </c>
      <c r="F10" s="8">
        <f>SQRT(1^2 + 1^2 + 1^2 + 1^2)</f>
      </c>
    </row>
    <row x14ac:dyDescent="0.25" r="11" customHeight="1" ht="17.25">
      <c r="A11" s="1"/>
      <c r="B11" s="7" t="s">
        <v>22</v>
      </c>
      <c r="C11" s="7" t="s">
        <v>22</v>
      </c>
      <c r="D11" s="7" t="s">
        <v>339</v>
      </c>
      <c r="E11" s="8">
        <f>SQRT(0^2 + 0^2 + 0^2 + 0^2)</f>
      </c>
      <c r="F11" s="8">
        <f>SQRT(1^2 + 1^2 + 1^2 + 1^2)</f>
      </c>
    </row>
    <row x14ac:dyDescent="0.25" r="12" customHeight="1" ht="17.25">
      <c r="A12" s="1"/>
      <c r="B12" s="7" t="s">
        <v>22</v>
      </c>
      <c r="C12" s="7" t="s">
        <v>22</v>
      </c>
      <c r="D12" s="7" t="s">
        <v>340</v>
      </c>
      <c r="E12" s="8">
        <f>SQRT(0^2 + 0^2 + 0^2 + 0^2)</f>
      </c>
      <c r="F12" s="8">
        <f>SQRT(1^2 + 1^2 + 1^2 + 1^2)</f>
      </c>
    </row>
    <row x14ac:dyDescent="0.25" r="13" customHeight="1" ht="17.25">
      <c r="A13" s="1"/>
      <c r="B13" s="7" t="s">
        <v>22</v>
      </c>
      <c r="C13" s="7" t="s">
        <v>22</v>
      </c>
      <c r="D13" s="7" t="s">
        <v>341</v>
      </c>
      <c r="E13" s="8">
        <f>SQRT(0^2 + 0^2 + 0^2 + 0^2)</f>
      </c>
      <c r="F13" s="8">
        <f>SQRT(1^2 + 1^2 + 1^2 + 1^2)</f>
      </c>
    </row>
    <row x14ac:dyDescent="0.25" r="14" customHeight="1" ht="17.25">
      <c r="A14" s="1"/>
      <c r="B14" s="7" t="s">
        <v>22</v>
      </c>
      <c r="C14" s="7" t="s">
        <v>22</v>
      </c>
      <c r="D14" s="7" t="s">
        <v>342</v>
      </c>
      <c r="E14" s="8">
        <f>SQRT(0^2 + 0^2 + 0^2 + 0^2)</f>
      </c>
      <c r="F14" s="8">
        <f>SQRT(1^2 + 1^2 + 1^2 + 1^2)</f>
      </c>
    </row>
    <row x14ac:dyDescent="0.25" r="15" customHeight="1" ht="17.25">
      <c r="A15" s="1"/>
      <c r="B15" s="7" t="s">
        <v>343</v>
      </c>
      <c r="C15" s="7" t="s">
        <v>343</v>
      </c>
      <c r="D15" s="7" t="s">
        <v>343</v>
      </c>
      <c r="E15" s="8">
        <f>0</f>
      </c>
      <c r="F15" s="8">
        <f>0</f>
      </c>
    </row>
    <row x14ac:dyDescent="0.25" r="16" customHeight="1" ht="17.25">
      <c r="A16" s="1"/>
      <c r="B16" s="7" t="s">
        <v>344</v>
      </c>
      <c r="C16" s="7" t="s">
        <v>345</v>
      </c>
      <c r="D16" s="7" t="s">
        <v>346</v>
      </c>
      <c r="E16" s="8">
        <f>SQRT(0^2 + 0^2 + 1^2 + 0^2)</f>
      </c>
      <c r="F16" s="8">
        <f>SQRT(0^2 + 0^2 + 1^2 + 0^2)</f>
      </c>
    </row>
    <row x14ac:dyDescent="0.25" r="17" customHeight="1" ht="17.25">
      <c r="A17" s="1"/>
      <c r="B17" s="7" t="s">
        <v>22</v>
      </c>
      <c r="C17" s="7" t="s">
        <v>22</v>
      </c>
      <c r="D17" s="7" t="s">
        <v>347</v>
      </c>
      <c r="E17" s="8">
        <f>SQRT(0^2 + 0^2 + 0^2 + 0^2)</f>
      </c>
      <c r="F17" s="8">
        <f>SQRT(1^2 + 1^2 + 1^2 + 1^2)</f>
      </c>
    </row>
    <row x14ac:dyDescent="0.25" r="18" customHeight="1" ht="17.25">
      <c r="A18" s="1"/>
      <c r="B18" s="7" t="s">
        <v>348</v>
      </c>
      <c r="C18" s="7" t="s">
        <v>348</v>
      </c>
      <c r="D18" s="7" t="s">
        <v>348</v>
      </c>
      <c r="E18" s="8">
        <f>0</f>
      </c>
      <c r="F18" s="8">
        <f>0</f>
      </c>
    </row>
    <row x14ac:dyDescent="0.25" r="19" customHeight="1" ht="17.25">
      <c r="A19" s="1"/>
      <c r="B19" s="7" t="s">
        <v>349</v>
      </c>
      <c r="C19" s="7" t="s">
        <v>349</v>
      </c>
      <c r="D19" s="7" t="s">
        <v>347</v>
      </c>
      <c r="E19" s="8">
        <f>SQRT(0^2 + 0^2 + 0^2 + 0^2)</f>
      </c>
      <c r="F19" s="8">
        <f>SQRT(0^2 + 0^2 + 1^2 + 0^2)</f>
      </c>
    </row>
    <row x14ac:dyDescent="0.25" r="20" customHeight="1" ht="17.25">
      <c r="A20" s="1"/>
      <c r="B20" s="7" t="s">
        <v>350</v>
      </c>
      <c r="C20" s="7" t="s">
        <v>22</v>
      </c>
      <c r="D20" s="7" t="s">
        <v>350</v>
      </c>
      <c r="E20" s="8">
        <f>SQRT(1^2 + 1^2 + 1^2 + 1^2)</f>
      </c>
      <c r="F20" s="8">
        <f>SQRT(0^2 + 0^2 + 0^2 + 0^2)</f>
      </c>
    </row>
    <row x14ac:dyDescent="0.25" r="21" customHeight="1" ht="17.25">
      <c r="A21" s="1"/>
      <c r="B21" s="7" t="s">
        <v>351</v>
      </c>
      <c r="C21" s="7" t="s">
        <v>351</v>
      </c>
      <c r="D21" s="7" t="s">
        <v>352</v>
      </c>
      <c r="E21" s="8">
        <f>SQRT(0^2 + 0^2 + 0^2 + 0^2)</f>
      </c>
      <c r="F21" s="8">
        <f>SQRT(0^2 + 0^2 + 0^2 + 0^2)</f>
      </c>
    </row>
    <row x14ac:dyDescent="0.25" r="22" customHeight="1" ht="17.25">
      <c r="A22" s="1"/>
      <c r="B22" s="7" t="s">
        <v>353</v>
      </c>
      <c r="C22" s="7" t="s">
        <v>353</v>
      </c>
      <c r="D22" s="7" t="s">
        <v>353</v>
      </c>
      <c r="E22" s="8">
        <f>0</f>
      </c>
      <c r="F22" s="8">
        <f>0</f>
      </c>
    </row>
    <row x14ac:dyDescent="0.25" r="23" customHeight="1" ht="17.25">
      <c r="A23" s="1"/>
      <c r="B23" s="7" t="s">
        <v>354</v>
      </c>
      <c r="C23" s="7" t="s">
        <v>354</v>
      </c>
      <c r="D23" s="7" t="s">
        <v>355</v>
      </c>
      <c r="E23" s="8">
        <f>SQRT(0^2 + 0^2 + 0^2 + 0^2)</f>
      </c>
      <c r="F23" s="8">
        <f>SQRT(0^2 + 0^2 + 0^2 + 0^2)</f>
      </c>
    </row>
    <row x14ac:dyDescent="0.25" r="24" customHeight="1" ht="17.25">
      <c r="A24" s="1"/>
      <c r="B24" s="7" t="s">
        <v>356</v>
      </c>
      <c r="C24" s="7" t="s">
        <v>356</v>
      </c>
      <c r="D24" s="7" t="s">
        <v>356</v>
      </c>
      <c r="E24" s="8">
        <f>SQRT(0^2 + 0^2 + 0^2 + 0^2)</f>
      </c>
      <c r="F24" s="8">
        <f>SQRT(0^2 + 0^2 + 0^2 + 0^2)</f>
      </c>
    </row>
    <row x14ac:dyDescent="0.25" r="25" customHeight="1" ht="17.25">
      <c r="A25" s="1"/>
      <c r="B25" s="7" t="s">
        <v>22</v>
      </c>
      <c r="C25" s="7" t="s">
        <v>357</v>
      </c>
      <c r="D25" s="7" t="s">
        <v>22</v>
      </c>
      <c r="E25" s="8">
        <f>SQRT(1^2 + 1^2 + 1^2 + 1^2)</f>
      </c>
      <c r="F25" s="8">
        <f>SQRT(0^2 + 0^2 + 0^2 + 0^2)</f>
      </c>
    </row>
    <row x14ac:dyDescent="0.25" r="26" customHeight="1" ht="17.25">
      <c r="A26" s="1"/>
      <c r="B26" s="7" t="s">
        <v>22</v>
      </c>
      <c r="C26" s="7" t="s">
        <v>358</v>
      </c>
      <c r="D26" s="7" t="s">
        <v>22</v>
      </c>
      <c r="E26" s="8">
        <f>SQRT(1^2 + 1^2 + 1^2 + 1^2)</f>
      </c>
      <c r="F26" s="8">
        <f>SQRT(0^2 + 0^2 + 0^2 + 0^2)</f>
      </c>
    </row>
    <row x14ac:dyDescent="0.25" r="27" customHeight="1" ht="17.25">
      <c r="A27" s="1"/>
      <c r="B27" s="7" t="s">
        <v>22</v>
      </c>
      <c r="C27" s="7" t="s">
        <v>359</v>
      </c>
      <c r="D27" s="7" t="s">
        <v>22</v>
      </c>
      <c r="E27" s="8">
        <f>SQRT(1^2 + 1^2 + 1^2 + 1^2)</f>
      </c>
      <c r="F27" s="8">
        <f>SQRT(0^2 + 0^2 + 0^2 + 0^2)</f>
      </c>
    </row>
    <row x14ac:dyDescent="0.25" r="28" customHeight="1" ht="17.25">
      <c r="A28" s="1"/>
      <c r="B28" s="7" t="s">
        <v>22</v>
      </c>
      <c r="C28" s="7" t="s">
        <v>360</v>
      </c>
      <c r="D28" s="7" t="s">
        <v>22</v>
      </c>
      <c r="E28" s="8">
        <f>SQRT(1^2 + 1^2 + 1^2 + 1^2)</f>
      </c>
      <c r="F28" s="8">
        <f>SQRT(0^2 + 0^2 + 0^2 + 0^2)</f>
      </c>
    </row>
    <row x14ac:dyDescent="0.25" r="29" customHeight="1" ht="17.25">
      <c r="A29" s="1"/>
      <c r="B29" s="7" t="s">
        <v>22</v>
      </c>
      <c r="C29" s="7" t="s">
        <v>361</v>
      </c>
      <c r="D29" s="7" t="s">
        <v>22</v>
      </c>
      <c r="E29" s="8">
        <f>SQRT(1^2 + 1^2 + 1^2 + 1^2)</f>
      </c>
      <c r="F29" s="8">
        <f>SQRT(0^2 + 0^2 + 0^2 + 0^2)</f>
      </c>
    </row>
    <row x14ac:dyDescent="0.25" r="30" customHeight="1" ht="17.25">
      <c r="A30" s="1"/>
      <c r="B30" s="7" t="s">
        <v>22</v>
      </c>
      <c r="C30" s="7" t="s">
        <v>22</v>
      </c>
      <c r="D30" s="7" t="s">
        <v>362</v>
      </c>
      <c r="E30" s="8">
        <f>SQRT(0^2 + 0^2 + 0^2 + 0^2)</f>
      </c>
      <c r="F30" s="8">
        <f>SQRT(1^2 + 1^2 + 1^2 + 1^2)</f>
      </c>
    </row>
    <row x14ac:dyDescent="0.25" r="31" customHeight="1" ht="17.25">
      <c r="A31" s="1"/>
      <c r="B31" s="7" t="s">
        <v>22</v>
      </c>
      <c r="C31" s="7" t="s">
        <v>22</v>
      </c>
      <c r="D31" s="7" t="s">
        <v>363</v>
      </c>
      <c r="E31" s="8">
        <f>SQRT(0^2 + 0^2 + 0^2 + 0^2)</f>
      </c>
      <c r="F31" s="8">
        <f>SQRT(1^2 + 1^2 + 1^2 + 1^2)</f>
      </c>
    </row>
    <row x14ac:dyDescent="0.25" r="32" customHeight="1" ht="17.25">
      <c r="A32" s="1"/>
      <c r="B32" s="7" t="s">
        <v>22</v>
      </c>
      <c r="C32" s="7" t="s">
        <v>22</v>
      </c>
      <c r="D32" s="7" t="s">
        <v>364</v>
      </c>
      <c r="E32" s="8">
        <f>SQRT(0^2 + 0^2 + 0^2 + 0^2)</f>
      </c>
      <c r="F32" s="8">
        <f>SQRT(1^2 + 1^2 + 1^2 + 1^2)</f>
      </c>
    </row>
    <row x14ac:dyDescent="0.25" r="33" customHeight="1" ht="17.25">
      <c r="A33" s="1"/>
      <c r="B33" s="7" t="s">
        <v>22</v>
      </c>
      <c r="C33" s="7" t="s">
        <v>22</v>
      </c>
      <c r="D33" s="7" t="s">
        <v>365</v>
      </c>
      <c r="E33" s="8">
        <f>SQRT(0^2 + 0^2 + 0^2 + 0^2)</f>
      </c>
      <c r="F33" s="8">
        <f>SQRT(1^2 + 1^2 + 1^2 + 1^2)</f>
      </c>
    </row>
    <row x14ac:dyDescent="0.25" r="34" customHeight="1" ht="17.25">
      <c r="A34" s="1"/>
      <c r="B34" s="7" t="s">
        <v>22</v>
      </c>
      <c r="C34" s="7" t="s">
        <v>22</v>
      </c>
      <c r="D34" s="7" t="s">
        <v>366</v>
      </c>
      <c r="E34" s="8">
        <f>SQRT(0^2 + 0^2 + 0^2 + 0^2)</f>
      </c>
      <c r="F34" s="8">
        <f>SQRT(1^2 + 1^2 + 1^2 + 1^2)</f>
      </c>
    </row>
    <row x14ac:dyDescent="0.25" r="35" customHeight="1" ht="17.25">
      <c r="A35" s="1"/>
      <c r="B35" s="7" t="s">
        <v>367</v>
      </c>
      <c r="C35" s="7" t="s">
        <v>367</v>
      </c>
      <c r="D35" s="7" t="s">
        <v>367</v>
      </c>
      <c r="E35" s="8">
        <f>SQRT(0^2 + 0^2 + 0^2 + 0^2)</f>
      </c>
      <c r="F35" s="8">
        <f>SQRT(0^2 + 0^2 + 0^2 + 0^2)</f>
      </c>
    </row>
    <row x14ac:dyDescent="0.25" r="36" customHeight="1" ht="17.25">
      <c r="A36" s="1"/>
      <c r="B36" s="7" t="s">
        <v>368</v>
      </c>
      <c r="C36" s="7" t="s">
        <v>368</v>
      </c>
      <c r="D36" s="7" t="s">
        <v>22</v>
      </c>
      <c r="E36" s="8">
        <f>SQRT(0^2 + 0^2 + 0^2 + 0^2)</f>
      </c>
      <c r="F36" s="8">
        <f>SQRT(1^2 + 1^2 + 1^2 + 1^2)</f>
      </c>
    </row>
    <row x14ac:dyDescent="0.25" r="37" customHeight="1" ht="17.25">
      <c r="A37" s="1"/>
      <c r="B37" s="7" t="s">
        <v>369</v>
      </c>
      <c r="C37" s="7" t="s">
        <v>369</v>
      </c>
      <c r="D37" s="7" t="s">
        <v>369</v>
      </c>
      <c r="E37" s="8">
        <f>SQRT(0^2 + 0^2 + 0^2 + 0^2)</f>
      </c>
      <c r="F37" s="8">
        <f>SQRT(0^2 + 0^2 + 0^2 + 0^2)</f>
      </c>
    </row>
    <row x14ac:dyDescent="0.25" r="38" customHeight="1" ht="17.25">
      <c r="A38" s="1"/>
      <c r="B38" s="7" t="s">
        <v>370</v>
      </c>
      <c r="C38" s="7" t="s">
        <v>370</v>
      </c>
      <c r="D38" s="7" t="s">
        <v>370</v>
      </c>
      <c r="E38" s="8">
        <f>SQRT(0^2 + 0^2 + 0^2 + 0^2)</f>
      </c>
      <c r="F38" s="8">
        <f>SQRT(0^2 + 0^2 + 0^2 + 1^2)</f>
      </c>
    </row>
    <row x14ac:dyDescent="0.25" r="39" customHeight="1" ht="17.25">
      <c r="A39" s="1"/>
      <c r="B39" s="7" t="s">
        <v>371</v>
      </c>
      <c r="C39" s="7" t="s">
        <v>371</v>
      </c>
      <c r="D39" s="7" t="s">
        <v>371</v>
      </c>
      <c r="E39" s="8">
        <f>SQRT(0^2 + 0^2 + 0^2 + 0^2)</f>
      </c>
      <c r="F39" s="8">
        <f>SQRT(0^2 + 0^2 + 0^2 + 1^2)</f>
      </c>
    </row>
    <row x14ac:dyDescent="0.25" r="40" customHeight="1" ht="17.25">
      <c r="A40" s="1"/>
      <c r="B40" s="7" t="s">
        <v>22</v>
      </c>
      <c r="C40" s="7" t="s">
        <v>372</v>
      </c>
      <c r="D40" s="7" t="s">
        <v>22</v>
      </c>
      <c r="E40" s="8">
        <f>SQRT(1^2 + 1^2 + 1^2 + 1^2)</f>
      </c>
      <c r="F40" s="8">
        <f>SQRT(0^2 + 0^2 + 0^2 + 0^2)</f>
      </c>
    </row>
    <row x14ac:dyDescent="0.25" r="41" customHeight="1" ht="17.25">
      <c r="A41" s="1"/>
      <c r="B41" s="7" t="s">
        <v>22</v>
      </c>
      <c r="C41" s="7" t="s">
        <v>373</v>
      </c>
      <c r="D41" s="7" t="s">
        <v>22</v>
      </c>
      <c r="E41" s="8">
        <f>SQRT(1^2 + 1^2 + 1^2 + 1^2)</f>
      </c>
      <c r="F41" s="8">
        <f>SQRT(0^2 + 0^2 + 0^2 + 0^2)</f>
      </c>
    </row>
    <row x14ac:dyDescent="0.25" r="42" customHeight="1" ht="17.25">
      <c r="A42" s="1"/>
      <c r="B42" s="7" t="s">
        <v>22</v>
      </c>
      <c r="C42" s="7" t="s">
        <v>374</v>
      </c>
      <c r="D42" s="7" t="s">
        <v>22</v>
      </c>
      <c r="E42" s="8">
        <f>SQRT(1^2 + 1^2 + 1^2 + 1^2)</f>
      </c>
      <c r="F42" s="8">
        <f>SQRT(0^2 + 0^2 + 0^2 + 0^2)</f>
      </c>
    </row>
    <row x14ac:dyDescent="0.25" r="43" customHeight="1" ht="17.25">
      <c r="A43" s="1"/>
      <c r="B43" s="7" t="s">
        <v>22</v>
      </c>
      <c r="C43" s="7" t="s">
        <v>375</v>
      </c>
      <c r="D43" s="7" t="s">
        <v>22</v>
      </c>
      <c r="E43" s="8">
        <f>SQRT(1^2 + 1^2 + 1^2 + 1^2)</f>
      </c>
      <c r="F43" s="8">
        <f>SQRT(0^2 + 0^2 + 0^2 + 0^2)</f>
      </c>
    </row>
    <row x14ac:dyDescent="0.25" r="44" customHeight="1" ht="17.25">
      <c r="A44" s="1"/>
      <c r="B44" s="7" t="s">
        <v>22</v>
      </c>
      <c r="C44" s="7" t="s">
        <v>376</v>
      </c>
      <c r="D44" s="7" t="s">
        <v>22</v>
      </c>
      <c r="E44" s="8">
        <f>SQRT(1^2 + 1^2 + 1^2 + 1^2)</f>
      </c>
      <c r="F44" s="8">
        <f>SQRT(0^2 + 0^2 + 0^2 + 0^2)</f>
      </c>
    </row>
    <row x14ac:dyDescent="0.25" r="45" customHeight="1" ht="17.25">
      <c r="A45" s="1"/>
      <c r="B45" s="7" t="s">
        <v>22</v>
      </c>
      <c r="C45" s="7" t="s">
        <v>377</v>
      </c>
      <c r="D45" s="7" t="s">
        <v>22</v>
      </c>
      <c r="E45" s="8">
        <f>SQRT(1^2 + 1^2 + 1^2 + 1^2)</f>
      </c>
      <c r="F45" s="8">
        <f>SQRT(0^2 + 0^2 + 0^2 + 0^2)</f>
      </c>
    </row>
    <row x14ac:dyDescent="0.25" r="46" customHeight="1" ht="17.25">
      <c r="A46" s="1"/>
      <c r="B46" s="7" t="s">
        <v>22</v>
      </c>
      <c r="C46" s="7" t="s">
        <v>22</v>
      </c>
      <c r="D46" s="7" t="s">
        <v>378</v>
      </c>
      <c r="E46" s="8">
        <f>SQRT(0^2 + 0^2 + 0^2 + 0^2)</f>
      </c>
      <c r="F46" s="8">
        <f>SQRT(1^2 + 1^2 + 1^2 + 1^2)</f>
      </c>
    </row>
    <row x14ac:dyDescent="0.25" r="47" customHeight="1" ht="17.25">
      <c r="A47" s="1"/>
      <c r="B47" s="1"/>
      <c r="C47" s="1"/>
      <c r="D47" s="19"/>
      <c r="E47" s="2"/>
      <c r="F47" s="3"/>
    </row>
    <row x14ac:dyDescent="0.25" r="48" customHeight="1" ht="17.25">
      <c r="A48" s="1"/>
      <c r="B48" s="1"/>
      <c r="C48" s="1"/>
      <c r="D48" s="19"/>
      <c r="E48" s="2"/>
      <c r="F48" s="3"/>
    </row>
    <row x14ac:dyDescent="0.25" r="49" customHeight="1" ht="17.25">
      <c r="A49" s="1"/>
      <c r="B49" s="1"/>
      <c r="C49" s="1"/>
      <c r="D49" s="7" t="s">
        <v>82</v>
      </c>
      <c r="E49" s="8">
        <f>SQRT(SUMSQ(E3:E46))</f>
      </c>
      <c r="F49" s="10">
        <f>SQRT(SUMSQ(F3:F46))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1.14785714285714" customWidth="1" bestFit="1"/>
    <col min="3" max="3" style="11" width="30.14785714285714" customWidth="1" bestFit="1"/>
    <col min="4" max="4" style="20" width="33.14785714285715" customWidth="1" bestFit="1"/>
    <col min="5" max="5" style="14" width="12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284</v>
      </c>
      <c r="C3" s="7" t="s">
        <v>285</v>
      </c>
      <c r="D3" s="7" t="s">
        <v>286</v>
      </c>
      <c r="E3" s="10">
        <f>0.5</f>
      </c>
      <c r="F3" s="10">
        <f>0.5</f>
      </c>
    </row>
    <row x14ac:dyDescent="0.25" r="4" customHeight="1" ht="17.25">
      <c r="A4" s="1"/>
      <c r="B4" s="7" t="s">
        <v>287</v>
      </c>
      <c r="C4" s="7" t="s">
        <v>288</v>
      </c>
      <c r="D4" s="7" t="s">
        <v>22</v>
      </c>
      <c r="E4" s="8">
        <f>SQRT(0^2 + 0^2 + 0^2 + 1^2 + 0^2 + 0^2)</f>
      </c>
      <c r="F4" s="10">
        <f>SQRT(1^2 + 1^2 + 1^2 + 1^2 + 0.5^2 + 1^2)</f>
      </c>
    </row>
    <row x14ac:dyDescent="0.25" r="5" customHeight="1" ht="17.25">
      <c r="A5" s="1"/>
      <c r="B5" s="7" t="s">
        <v>289</v>
      </c>
      <c r="C5" s="7" t="s">
        <v>22</v>
      </c>
      <c r="D5" s="7" t="s">
        <v>22</v>
      </c>
      <c r="E5" s="8">
        <f>1</f>
      </c>
      <c r="F5" s="8">
        <f>1</f>
      </c>
    </row>
    <row x14ac:dyDescent="0.25" r="6" customHeight="1" ht="17.25">
      <c r="A6" s="1"/>
      <c r="B6" s="7" t="s">
        <v>290</v>
      </c>
      <c r="C6" s="7" t="s">
        <v>290</v>
      </c>
      <c r="D6" s="7" t="s">
        <v>22</v>
      </c>
      <c r="E6" s="8">
        <f>0</f>
      </c>
      <c r="F6" s="8">
        <f>1</f>
      </c>
    </row>
    <row x14ac:dyDescent="0.25" r="7" customHeight="1" ht="17.25">
      <c r="A7" s="1"/>
      <c r="B7" s="7" t="s">
        <v>291</v>
      </c>
      <c r="C7" s="7" t="s">
        <v>291</v>
      </c>
      <c r="D7" s="7" t="s">
        <v>292</v>
      </c>
      <c r="E7" s="8">
        <f>0</f>
      </c>
      <c r="F7" s="8">
        <f>0</f>
      </c>
    </row>
    <row x14ac:dyDescent="0.25" r="8" customHeight="1" ht="17.25">
      <c r="A8" s="1"/>
      <c r="B8" s="7" t="s">
        <v>293</v>
      </c>
      <c r="C8" s="7" t="s">
        <v>293</v>
      </c>
      <c r="D8" s="7" t="s">
        <v>294</v>
      </c>
      <c r="E8" s="8">
        <f>0</f>
      </c>
      <c r="F8" s="8">
        <f>0</f>
      </c>
    </row>
    <row x14ac:dyDescent="0.25" r="9" customHeight="1" ht="17.25">
      <c r="A9" s="1"/>
      <c r="B9" s="7" t="s">
        <v>295</v>
      </c>
      <c r="C9" s="7" t="s">
        <v>296</v>
      </c>
      <c r="D9" s="7" t="s">
        <v>297</v>
      </c>
      <c r="E9" s="8">
        <f>SQRT(0^2 + 0^2 + 0^2 + 1^2 + 0^2 + 0^2)</f>
      </c>
      <c r="F9" s="8">
        <f>SQRT(0^2 + 0^2 + 0^2 + 1^2 + 0^2 + 0^2)</f>
      </c>
    </row>
    <row x14ac:dyDescent="0.25" r="10" customHeight="1" ht="17.25">
      <c r="A10" s="1"/>
      <c r="B10" s="7" t="s">
        <v>298</v>
      </c>
      <c r="C10" s="7" t="s">
        <v>299</v>
      </c>
      <c r="D10" s="7" t="s">
        <v>22</v>
      </c>
      <c r="E10" s="8">
        <f>SQRT(0^2 + 0^2 + 0^2 + 0^2 + 0^2 + 0^2)</f>
      </c>
      <c r="F10" s="10">
        <f>SQRT(1^2 + 1^2 + 1^2 + 1^2 + 0.5^2 + 1^2)</f>
      </c>
    </row>
    <row x14ac:dyDescent="0.25" r="11" customHeight="1" ht="17.25">
      <c r="A11" s="1"/>
      <c r="B11" s="7" t="s">
        <v>300</v>
      </c>
      <c r="C11" s="7" t="s">
        <v>301</v>
      </c>
      <c r="D11" s="7" t="s">
        <v>22</v>
      </c>
      <c r="E11" s="8">
        <f>SQRT(0^2 + 0^2 + 0^2 + 0^2 + 0^2 + 0^2)</f>
      </c>
      <c r="F11" s="10">
        <f>SQRT(1^2 + 1^2 + 1^2 + 1^2 + 0.5^2 + 1^2)</f>
      </c>
    </row>
    <row x14ac:dyDescent="0.25" r="12" customHeight="1" ht="17.25">
      <c r="A12" s="1"/>
      <c r="B12" s="7" t="s">
        <v>302</v>
      </c>
      <c r="C12" s="7" t="s">
        <v>303</v>
      </c>
      <c r="D12" s="7" t="s">
        <v>22</v>
      </c>
      <c r="E12" s="8">
        <f>SQRT(0^2 + 0^2 + 0^2 + 0^2 + 0^2 + 0^2)</f>
      </c>
      <c r="F12" s="10">
        <f>SQRT(1^2 + 1^2 + 1^2 + 1^2 + 0.5^2 + 1^2)</f>
      </c>
    </row>
    <row x14ac:dyDescent="0.25" r="13" customHeight="1" ht="17.25">
      <c r="A13" s="1"/>
      <c r="B13" s="7" t="s">
        <v>304</v>
      </c>
      <c r="C13" s="7" t="s">
        <v>305</v>
      </c>
      <c r="D13" s="7" t="s">
        <v>22</v>
      </c>
      <c r="E13" s="8">
        <f>0</f>
      </c>
      <c r="F13" s="8">
        <f>1</f>
      </c>
    </row>
    <row x14ac:dyDescent="0.25" r="14" customHeight="1" ht="17.25">
      <c r="A14" s="1"/>
      <c r="B14" s="7" t="s">
        <v>306</v>
      </c>
      <c r="C14" s="7" t="s">
        <v>306</v>
      </c>
      <c r="D14" s="7" t="s">
        <v>307</v>
      </c>
      <c r="E14" s="8">
        <f>0</f>
      </c>
      <c r="F14" s="10">
        <f>0.5</f>
      </c>
    </row>
    <row x14ac:dyDescent="0.25" r="15" customHeight="1" ht="17.25">
      <c r="A15" s="1"/>
      <c r="B15" s="7" t="s">
        <v>308</v>
      </c>
      <c r="C15" s="7" t="s">
        <v>308</v>
      </c>
      <c r="D15" s="7" t="s">
        <v>308</v>
      </c>
      <c r="E15" s="8">
        <f>0</f>
      </c>
      <c r="F15" s="8">
        <f>0</f>
      </c>
    </row>
    <row x14ac:dyDescent="0.25" r="16" customHeight="1" ht="17.25">
      <c r="A16" s="1"/>
      <c r="B16" s="7" t="s">
        <v>309</v>
      </c>
      <c r="C16" s="7" t="s">
        <v>310</v>
      </c>
      <c r="D16" s="7" t="s">
        <v>310</v>
      </c>
      <c r="E16" s="8">
        <f>SQRT(0^2 + 0^2 + 0^2 + 0^2 + 0^2 + 0^2)</f>
      </c>
      <c r="F16" s="8">
        <f>SQRT(0^2 + 0^2 + 0^2 + 0^2 + 0^2 + 0^2)</f>
      </c>
    </row>
    <row x14ac:dyDescent="0.25" r="17" customHeight="1" ht="17.25">
      <c r="A17" s="1"/>
      <c r="B17" s="7" t="s">
        <v>22</v>
      </c>
      <c r="C17" s="7" t="s">
        <v>311</v>
      </c>
      <c r="D17" s="7" t="s">
        <v>311</v>
      </c>
      <c r="E17" s="8">
        <f>1</f>
      </c>
      <c r="F17" s="8">
        <f>1</f>
      </c>
    </row>
    <row x14ac:dyDescent="0.25" r="18" customHeight="1" ht="17.25">
      <c r="A18" s="1"/>
      <c r="B18" s="7" t="s">
        <v>312</v>
      </c>
      <c r="C18" s="7" t="s">
        <v>313</v>
      </c>
      <c r="D18" s="7" t="s">
        <v>22</v>
      </c>
      <c r="E18" s="8">
        <f>SQRT(0^2 + 0^2 + 0^2 + 0^2)</f>
      </c>
      <c r="F18" s="8">
        <f>SQRT(1^2 + 1^2 + 1^2 + 1^2)</f>
      </c>
    </row>
    <row x14ac:dyDescent="0.25" r="19" customHeight="1" ht="17.25">
      <c r="A19" s="1"/>
      <c r="B19" s="7" t="s">
        <v>314</v>
      </c>
      <c r="C19" s="7" t="s">
        <v>22</v>
      </c>
      <c r="D19" s="7" t="s">
        <v>22</v>
      </c>
      <c r="E19" s="8">
        <f>SQRT(1^2 + 1^2 + 1^2 + 1^2)</f>
      </c>
      <c r="F19" s="8">
        <f>SQRT(1^2 + 1^2 + 1^2 + 1^2)</f>
      </c>
    </row>
    <row x14ac:dyDescent="0.25" r="20" customHeight="1" ht="17.25">
      <c r="A20" s="1"/>
      <c r="B20" s="7" t="s">
        <v>315</v>
      </c>
      <c r="C20" s="7" t="s">
        <v>316</v>
      </c>
      <c r="D20" s="7" t="s">
        <v>22</v>
      </c>
      <c r="E20" s="10">
        <f>SQRT(0^2 + 0^2 + 1^2 + 1^2)</f>
      </c>
      <c r="F20" s="8">
        <f>SQRT(1^2 + 1^2 + 1^2 + 1^2)</f>
      </c>
    </row>
    <row x14ac:dyDescent="0.25" r="21" customHeight="1" ht="17.25">
      <c r="A21" s="1"/>
      <c r="B21" s="7" t="s">
        <v>317</v>
      </c>
      <c r="C21" s="7" t="s">
        <v>22</v>
      </c>
      <c r="D21" s="7" t="s">
        <v>318</v>
      </c>
      <c r="E21" s="8">
        <f>SQRT(1^2 + 1^2 + 1^2 + 1^2)</f>
      </c>
      <c r="F21" s="10">
        <f>SQRT(0^2 + 0^2 + 1^2 + 1^2)</f>
      </c>
    </row>
    <row x14ac:dyDescent="0.25" r="22" customHeight="1" ht="17.25">
      <c r="A22" s="1"/>
      <c r="B22" s="7" t="s">
        <v>22</v>
      </c>
      <c r="C22" s="7" t="s">
        <v>319</v>
      </c>
      <c r="D22" s="7" t="s">
        <v>320</v>
      </c>
      <c r="E22" s="8">
        <f>SQRT(1^2 + 1^2 + 1^2 + 1^2)</f>
      </c>
      <c r="F22" s="8">
        <f>SQRT(1^2 + 1^2 + 1^2 + 1^2)</f>
      </c>
    </row>
    <row x14ac:dyDescent="0.25" r="23" customHeight="1" ht="17.25">
      <c r="A23" s="1"/>
      <c r="B23" s="7" t="s">
        <v>321</v>
      </c>
      <c r="C23" s="7" t="s">
        <v>22</v>
      </c>
      <c r="D23" s="7" t="s">
        <v>22</v>
      </c>
      <c r="E23" s="8">
        <f>SQRT(1^2 + 1^2 + 1^2 + 1^2)</f>
      </c>
      <c r="F23" s="8">
        <f>SQRT(1^2 + 1^2 + 1^2 + 1^2)</f>
      </c>
    </row>
    <row x14ac:dyDescent="0.25" r="24" customHeight="1" ht="17.25">
      <c r="A24" s="1"/>
      <c r="B24" s="7" t="s">
        <v>322</v>
      </c>
      <c r="C24" s="7" t="s">
        <v>323</v>
      </c>
      <c r="D24" s="7" t="s">
        <v>22</v>
      </c>
      <c r="E24" s="10">
        <f>SQRT(0^2 + 0^2 + 1^2 + 1^2)</f>
      </c>
      <c r="F24" s="8">
        <f>SQRT(1^2 + 1^2 + 1^2 + 1^2)</f>
      </c>
    </row>
    <row x14ac:dyDescent="0.25" r="25" customHeight="1" ht="17.25">
      <c r="A25" s="1"/>
      <c r="B25" s="7" t="s">
        <v>324</v>
      </c>
      <c r="C25" s="7" t="s">
        <v>325</v>
      </c>
      <c r="D25" s="7" t="s">
        <v>326</v>
      </c>
      <c r="E25" s="10">
        <f>SQRT(0^2 + 0^2 + 1^2 + 1^2)</f>
      </c>
      <c r="F25" s="10">
        <f>SQRT(0^2 + 0^2 + 1^2 + 1^2)</f>
      </c>
    </row>
    <row x14ac:dyDescent="0.25" r="26" customHeight="1" ht="17.25">
      <c r="A26" s="1"/>
      <c r="B26" s="7" t="s">
        <v>327</v>
      </c>
      <c r="C26" s="7" t="s">
        <v>22</v>
      </c>
      <c r="D26" s="7" t="s">
        <v>22</v>
      </c>
      <c r="E26" s="8">
        <f>SQRT(1^2 + 1^2 + 1^2 + 1^2)</f>
      </c>
      <c r="F26" s="8">
        <f>SQRT(1^2 + 1^2 + 1^2 + 1^2)</f>
      </c>
    </row>
    <row x14ac:dyDescent="0.25" r="27" customHeight="1" ht="17.25">
      <c r="A27" s="1"/>
      <c r="B27" s="7" t="s">
        <v>22</v>
      </c>
      <c r="C27" s="7" t="s">
        <v>328</v>
      </c>
      <c r="D27" s="7" t="s">
        <v>22</v>
      </c>
      <c r="E27" s="8">
        <f>SQRT(1^2 + 1^2 + 1^2 + 1^2)</f>
      </c>
      <c r="F27" s="8">
        <f>SQRT(1^2 + 1^2 + 1^2 + 1^2)</f>
      </c>
    </row>
    <row x14ac:dyDescent="0.25" r="28" customHeight="1" ht="17.25">
      <c r="A28" s="1"/>
      <c r="B28" s="7" t="s">
        <v>22</v>
      </c>
      <c r="C28" s="7" t="s">
        <v>329</v>
      </c>
      <c r="D28" s="7" t="s">
        <v>329</v>
      </c>
      <c r="E28" s="8">
        <f>SQRT(1^2 + 1^2 + 1^2 + 1^2)</f>
      </c>
      <c r="F28" s="8">
        <f>SQRT(1^2 + 1^2 + 1^2 + 1^2)</f>
      </c>
    </row>
    <row x14ac:dyDescent="0.25" r="29" customHeight="1" ht="17.25">
      <c r="A29" s="1"/>
      <c r="B29" s="7" t="s">
        <v>22</v>
      </c>
      <c r="C29" s="7" t="s">
        <v>330</v>
      </c>
      <c r="D29" s="7" t="s">
        <v>330</v>
      </c>
      <c r="E29" s="8">
        <f>SQRT(1^2 + 1^2 + 1^2 + 1^2)</f>
      </c>
      <c r="F29" s="8">
        <f>SQRT(1^2 + 1^2 + 1^2 + 1^2)</f>
      </c>
    </row>
    <row x14ac:dyDescent="0.25" r="30" customHeight="1" ht="17.25">
      <c r="A30" s="1"/>
      <c r="B30" s="1"/>
      <c r="C30" s="1"/>
      <c r="D30" s="19"/>
      <c r="E30" s="3"/>
      <c r="F30" s="3"/>
    </row>
    <row x14ac:dyDescent="0.25" r="31" customHeight="1" ht="17.25">
      <c r="A31" s="1"/>
      <c r="B31" s="1"/>
      <c r="C31" s="1"/>
      <c r="D31" s="19"/>
      <c r="E31" s="3"/>
      <c r="F31" s="3"/>
    </row>
    <row x14ac:dyDescent="0.25" r="32" customHeight="1" ht="17.25">
      <c r="A32" s="1"/>
      <c r="B32" s="1"/>
      <c r="C32" s="1"/>
      <c r="D32" s="7" t="s">
        <v>82</v>
      </c>
      <c r="E32" s="10">
        <f>SQRT(SUMSQ(E3:E29))</f>
      </c>
      <c r="F32" s="10">
        <f>SQRT(SUMSQ(F3:F29))</f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2.57642857142857" customWidth="1" bestFit="1"/>
    <col min="3" max="3" style="11" width="31.576428571428572" customWidth="1" bestFit="1"/>
    <col min="4" max="4" style="20" width="44.005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188</v>
      </c>
      <c r="C3" s="7" t="s">
        <v>188</v>
      </c>
      <c r="D3" s="7" t="s">
        <v>188</v>
      </c>
      <c r="E3" s="8">
        <f>0</f>
      </c>
      <c r="F3" s="8">
        <f>0</f>
      </c>
    </row>
    <row x14ac:dyDescent="0.25" r="4" customHeight="1" ht="17.25">
      <c r="A4" s="1"/>
      <c r="B4" s="7" t="s">
        <v>245</v>
      </c>
      <c r="C4" s="7" t="s">
        <v>245</v>
      </c>
      <c r="D4" s="7" t="s">
        <v>246</v>
      </c>
      <c r="E4" s="8">
        <f>0</f>
      </c>
      <c r="F4" s="10">
        <f>0.5</f>
      </c>
    </row>
    <row x14ac:dyDescent="0.25" r="5" customHeight="1" ht="17.25">
      <c r="A5" s="1"/>
      <c r="B5" s="7" t="s">
        <v>247</v>
      </c>
      <c r="C5" s="7" t="s">
        <v>247</v>
      </c>
      <c r="D5" s="7" t="s">
        <v>248</v>
      </c>
      <c r="E5" s="8">
        <f>SQRT(0^2 + 0^2 + 0^2 + 0^2 + 0^2 + 0^2)</f>
      </c>
      <c r="F5" s="8">
        <f>SQRT(0^2 + 0^2 + 0^2 + 0^2 + 0^2 + 0^2)</f>
      </c>
    </row>
    <row x14ac:dyDescent="0.25" r="6" customHeight="1" ht="17.25">
      <c r="A6" s="1"/>
      <c r="B6" s="7" t="s">
        <v>249</v>
      </c>
      <c r="C6" s="7" t="s">
        <v>249</v>
      </c>
      <c r="D6" s="7" t="s">
        <v>250</v>
      </c>
      <c r="E6" s="8">
        <f>SQRT(0^2 + 0^2 + 0^2 + 0^2 + 0^2 + 0^2)</f>
      </c>
      <c r="F6" s="8">
        <f>SQRT(0^2 + 0^2 + 0^2 + 0^2 + 0^2 + 0^2)</f>
      </c>
    </row>
    <row x14ac:dyDescent="0.25" r="7" customHeight="1" ht="17.25">
      <c r="A7" s="1"/>
      <c r="B7" s="7" t="s">
        <v>251</v>
      </c>
      <c r="C7" s="7" t="s">
        <v>251</v>
      </c>
      <c r="D7" s="7" t="s">
        <v>252</v>
      </c>
      <c r="E7" s="8">
        <f>SQRT(0^2 + 0^2 + 0^2 + 0^2 + 0^2 + 0^2)</f>
      </c>
      <c r="F7" s="8">
        <f>SQRT(0^2 + 0^2 + 0^2 + 0^2 + 0^2 + 0^2)</f>
      </c>
    </row>
    <row x14ac:dyDescent="0.25" r="8" customHeight="1" ht="17.25">
      <c r="A8" s="1"/>
      <c r="B8" s="7" t="s">
        <v>253</v>
      </c>
      <c r="C8" s="7" t="s">
        <v>253</v>
      </c>
      <c r="D8" s="7" t="s">
        <v>254</v>
      </c>
      <c r="E8" s="8">
        <f>0</f>
      </c>
      <c r="F8" s="10">
        <f>0.5</f>
      </c>
    </row>
    <row x14ac:dyDescent="0.25" r="9" customHeight="1" ht="17.25">
      <c r="A9" s="1"/>
      <c r="B9" s="7" t="s">
        <v>255</v>
      </c>
      <c r="C9" s="7" t="s">
        <v>255</v>
      </c>
      <c r="D9" s="7" t="s">
        <v>256</v>
      </c>
      <c r="E9" s="8">
        <f>0</f>
      </c>
      <c r="F9" s="8">
        <f>0</f>
      </c>
    </row>
    <row x14ac:dyDescent="0.25" r="10" customHeight="1" ht="17.25">
      <c r="A10" s="1"/>
      <c r="B10" s="7" t="s">
        <v>257</v>
      </c>
      <c r="C10" s="7" t="s">
        <v>257</v>
      </c>
      <c r="D10" s="7" t="s">
        <v>257</v>
      </c>
      <c r="E10" s="8">
        <f>SQRT(0^2 + 0^2 + 0^2 + 0^2)</f>
      </c>
      <c r="F10" s="8">
        <f>SQRT(0^2 + 0^2 + 0^2 + 0^2)</f>
      </c>
    </row>
    <row x14ac:dyDescent="0.25" r="11" customHeight="1" ht="17.25">
      <c r="A11" s="1"/>
      <c r="B11" s="7" t="s">
        <v>258</v>
      </c>
      <c r="C11" s="7" t="s">
        <v>259</v>
      </c>
      <c r="D11" s="7" t="s">
        <v>258</v>
      </c>
      <c r="E11" s="8">
        <f>SQRT(0^2 + 0^2 + 0^2 + 0^2)</f>
      </c>
      <c r="F11" s="8">
        <f>SQRT(0^2 + 0^2 + 0^2 + 0^2)</f>
      </c>
    </row>
    <row x14ac:dyDescent="0.25" r="12" customHeight="1" ht="17.25">
      <c r="A12" s="1"/>
      <c r="B12" s="7" t="s">
        <v>260</v>
      </c>
      <c r="C12" s="7" t="s">
        <v>260</v>
      </c>
      <c r="D12" s="7" t="s">
        <v>261</v>
      </c>
      <c r="E12" s="8">
        <f>0</f>
      </c>
      <c r="F12" s="8">
        <f>0</f>
      </c>
    </row>
    <row x14ac:dyDescent="0.25" r="13" customHeight="1" ht="17.25">
      <c r="A13" s="1"/>
      <c r="B13" s="7" t="s">
        <v>262</v>
      </c>
      <c r="C13" s="7" t="s">
        <v>262</v>
      </c>
      <c r="D13" s="7" t="s">
        <v>263</v>
      </c>
      <c r="E13" s="8">
        <f>0</f>
      </c>
      <c r="F13" s="8">
        <f>0</f>
      </c>
    </row>
    <row x14ac:dyDescent="0.25" r="14" customHeight="1" ht="17.25">
      <c r="A14" s="1"/>
      <c r="B14" s="7" t="s">
        <v>264</v>
      </c>
      <c r="C14" s="7" t="s">
        <v>264</v>
      </c>
      <c r="D14" s="7" t="s">
        <v>265</v>
      </c>
      <c r="E14" s="8">
        <f>0</f>
      </c>
      <c r="F14" s="10">
        <f>0.5</f>
      </c>
    </row>
    <row x14ac:dyDescent="0.25" r="15" customHeight="1" ht="17.25">
      <c r="A15" s="1"/>
      <c r="B15" s="7" t="s">
        <v>266</v>
      </c>
      <c r="C15" s="7" t="s">
        <v>266</v>
      </c>
      <c r="D15" s="7" t="s">
        <v>267</v>
      </c>
      <c r="E15" s="8">
        <f>0</f>
      </c>
      <c r="F15" s="10">
        <f>0.5</f>
      </c>
    </row>
    <row x14ac:dyDescent="0.25" r="16" customHeight="1" ht="17.25">
      <c r="A16" s="1"/>
      <c r="B16" s="7" t="s">
        <v>268</v>
      </c>
      <c r="C16" s="7" t="s">
        <v>268</v>
      </c>
      <c r="D16" s="7" t="s">
        <v>269</v>
      </c>
      <c r="E16" s="8">
        <f>SQRT(0^2 + 0^2 + 0^2 + 0^2)</f>
      </c>
      <c r="F16" s="8">
        <f>SQRT(0^2 + 0^2 + 0^2 + 0^2)</f>
      </c>
    </row>
    <row x14ac:dyDescent="0.25" r="17" customHeight="1" ht="17.25">
      <c r="A17" s="1"/>
      <c r="B17" s="7" t="s">
        <v>270</v>
      </c>
      <c r="C17" s="7" t="s">
        <v>270</v>
      </c>
      <c r="D17" s="7" t="s">
        <v>271</v>
      </c>
      <c r="E17" s="8">
        <f>SQRT(0^2 + 0^2 + 0^2 + 0^2)</f>
      </c>
      <c r="F17" s="8">
        <f>SQRT(0^2 + 0^2 + 0^2 + 0^2)</f>
      </c>
    </row>
    <row x14ac:dyDescent="0.25" r="18" customHeight="1" ht="17.25">
      <c r="A18" s="1"/>
      <c r="B18" s="7" t="s">
        <v>272</v>
      </c>
      <c r="C18" s="7" t="s">
        <v>272</v>
      </c>
      <c r="D18" s="7" t="s">
        <v>273</v>
      </c>
      <c r="E18" s="8">
        <f>SQRT(0^2 + 0^2 + 0^2 + 0^2)</f>
      </c>
      <c r="F18" s="8">
        <f>SQRT(0^2 + 0^2 + 0^2 + 0^2)</f>
      </c>
    </row>
    <row x14ac:dyDescent="0.25" r="19" customHeight="1" ht="17.25">
      <c r="A19" s="1"/>
      <c r="B19" s="7" t="s">
        <v>274</v>
      </c>
      <c r="C19" s="7" t="s">
        <v>274</v>
      </c>
      <c r="D19" s="7" t="s">
        <v>275</v>
      </c>
      <c r="E19" s="8">
        <f>SQRT(0^2 + 0^2 + 0^2 + 0^2)</f>
      </c>
      <c r="F19" s="8">
        <f>SQRT(0^2 + 0^2 + 0^2 + 0^2)</f>
      </c>
    </row>
    <row x14ac:dyDescent="0.25" r="20" customHeight="1" ht="17.25">
      <c r="A20" s="1"/>
      <c r="B20" s="7" t="s">
        <v>276</v>
      </c>
      <c r="C20" s="7" t="s">
        <v>277</v>
      </c>
      <c r="D20" s="7" t="s">
        <v>278</v>
      </c>
      <c r="E20" s="10">
        <f>SQRT(0^2 + 0^2 + 1^2 + 1^2)</f>
      </c>
      <c r="F20" s="8">
        <f>SQRT(0^2 + 0^2 + 0^2 + 0^2)</f>
      </c>
    </row>
    <row x14ac:dyDescent="0.25" r="21" customHeight="1" ht="17.25">
      <c r="A21" s="1"/>
      <c r="B21" s="7" t="s">
        <v>279</v>
      </c>
      <c r="C21" s="7" t="s">
        <v>22</v>
      </c>
      <c r="D21" s="7" t="s">
        <v>280</v>
      </c>
      <c r="E21" s="8">
        <f>SQRT(1^2 + 1^2 + 1^2 + 1^2)</f>
      </c>
      <c r="F21" s="8">
        <f>SQRT(0^2 + 0^2 + 0^2 + 0^2)</f>
      </c>
    </row>
    <row x14ac:dyDescent="0.25" r="22" customHeight="1" ht="17.25">
      <c r="A22" s="1"/>
      <c r="B22" s="7" t="s">
        <v>281</v>
      </c>
      <c r="C22" s="7" t="s">
        <v>281</v>
      </c>
      <c r="D22" s="7" t="s">
        <v>22</v>
      </c>
      <c r="E22" s="8">
        <f>SQRT(0^2 + 0^2 + 0^2 + 0^2)</f>
      </c>
      <c r="F22" s="8">
        <f>SQRT(1^2 + 1^2 + 1^2 + 1^2)</f>
      </c>
    </row>
    <row x14ac:dyDescent="0.25" r="23" customHeight="1" ht="17.25">
      <c r="A23" s="1"/>
      <c r="B23" s="7" t="s">
        <v>282</v>
      </c>
      <c r="C23" s="7" t="s">
        <v>282</v>
      </c>
      <c r="D23" s="7" t="s">
        <v>283</v>
      </c>
      <c r="E23" s="8">
        <f>SQRT(0^2 + 0^2 + 0^2 + 0^2)</f>
      </c>
      <c r="F23" s="8">
        <f>SQRT(0^2 + 0^2 + 0^2 + 0^2)</f>
      </c>
    </row>
    <row x14ac:dyDescent="0.25" r="24" customHeight="1" ht="17.25">
      <c r="A24" s="1"/>
      <c r="B24" s="1"/>
      <c r="C24" s="1"/>
      <c r="D24" s="19"/>
      <c r="E24" s="3"/>
      <c r="F24" s="3"/>
    </row>
    <row x14ac:dyDescent="0.25" r="25" customHeight="1" ht="17.25">
      <c r="A25" s="1"/>
      <c r="B25" s="1"/>
      <c r="C25" s="1"/>
      <c r="D25" s="19"/>
      <c r="E25" s="3"/>
      <c r="F25" s="3"/>
    </row>
    <row x14ac:dyDescent="0.25" r="26" customHeight="1" ht="17.25">
      <c r="A26" s="1"/>
      <c r="B26" s="1"/>
      <c r="C26" s="1"/>
      <c r="D26" s="7" t="s">
        <v>82</v>
      </c>
      <c r="E26" s="10">
        <f>SQRT(SUMSQ(E3:E23))</f>
      </c>
      <c r="F26" s="10">
        <f>SQRT(SUMSQ(F3:F23))</f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8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4.86214285714286" customWidth="1" bestFit="1"/>
    <col min="3" max="3" style="11" width="34.86214285714286" customWidth="1" bestFit="1"/>
    <col min="4" max="4" style="20" width="34.86214285714286" customWidth="1" bestFit="1"/>
    <col min="5" max="5" style="14" width="12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184</v>
      </c>
      <c r="C3" s="7" t="s">
        <v>22</v>
      </c>
      <c r="D3" s="7" t="s">
        <v>22</v>
      </c>
      <c r="E3" s="8">
        <f>1</f>
      </c>
      <c r="F3" s="8">
        <f>1</f>
      </c>
    </row>
    <row x14ac:dyDescent="0.25" r="4" customHeight="1" ht="17.25">
      <c r="A4" s="1"/>
      <c r="B4" s="7" t="s">
        <v>185</v>
      </c>
      <c r="C4" s="7" t="s">
        <v>186</v>
      </c>
      <c r="D4" s="7" t="s">
        <v>186</v>
      </c>
      <c r="E4" s="8">
        <f>SQRT(0^2 + 0^2 + 0^2 + 0^2)</f>
      </c>
      <c r="F4" s="8">
        <f>SQRT(0^2 + 0^2 + 0^2 + 0^2)</f>
      </c>
    </row>
    <row x14ac:dyDescent="0.25" r="5" customHeight="1" ht="17.25">
      <c r="A5" s="1"/>
      <c r="B5" s="7" t="s">
        <v>187</v>
      </c>
      <c r="C5" s="7" t="s">
        <v>187</v>
      </c>
      <c r="D5" s="7" t="s">
        <v>187</v>
      </c>
      <c r="E5" s="8">
        <f>0</f>
      </c>
      <c r="F5" s="8">
        <f>0</f>
      </c>
    </row>
    <row x14ac:dyDescent="0.25" r="6" customHeight="1" ht="17.25">
      <c r="A6" s="1"/>
      <c r="B6" s="7" t="s">
        <v>28</v>
      </c>
      <c r="C6" s="7" t="s">
        <v>188</v>
      </c>
      <c r="D6" s="7" t="s">
        <v>188</v>
      </c>
      <c r="E6" s="10">
        <f>0.5</f>
      </c>
      <c r="F6" s="10">
        <f>0.5</f>
      </c>
    </row>
    <row x14ac:dyDescent="0.25" r="7" customHeight="1" ht="17.25">
      <c r="A7" s="1"/>
      <c r="B7" s="7" t="s">
        <v>189</v>
      </c>
      <c r="C7" s="7" t="s">
        <v>190</v>
      </c>
      <c r="D7" s="7" t="s">
        <v>190</v>
      </c>
      <c r="E7" s="10">
        <f>0.5</f>
      </c>
      <c r="F7" s="10">
        <f>0.5</f>
      </c>
    </row>
    <row x14ac:dyDescent="0.25" r="8" customHeight="1" ht="17.25">
      <c r="A8" s="1"/>
      <c r="B8" s="7" t="s">
        <v>191</v>
      </c>
      <c r="C8" s="7" t="s">
        <v>191</v>
      </c>
      <c r="D8" s="7" t="s">
        <v>191</v>
      </c>
      <c r="E8" s="8">
        <f>0</f>
      </c>
      <c r="F8" s="8">
        <f>0</f>
      </c>
    </row>
    <row x14ac:dyDescent="0.25" r="9" customHeight="1" ht="17.25">
      <c r="A9" s="1"/>
      <c r="B9" s="7" t="s">
        <v>192</v>
      </c>
      <c r="C9" s="7" t="s">
        <v>192</v>
      </c>
      <c r="D9" s="7" t="s">
        <v>192</v>
      </c>
      <c r="E9" s="8">
        <f>SQRT(0^2 + 0^2 + 0^2 + 0^2)</f>
      </c>
      <c r="F9" s="8">
        <f>SQRT(0^2 + 0^2 + 0^2 + 0^2)</f>
      </c>
    </row>
    <row x14ac:dyDescent="0.25" r="10" customHeight="1" ht="17.25">
      <c r="A10" s="1"/>
      <c r="B10" s="7" t="s">
        <v>193</v>
      </c>
      <c r="C10" s="7" t="s">
        <v>193</v>
      </c>
      <c r="D10" s="7" t="s">
        <v>193</v>
      </c>
      <c r="E10" s="8">
        <f>SQRT(0^2 + 0^2 + 0^2 + 0^2)</f>
      </c>
      <c r="F10" s="8">
        <f>SQRT(0^2 + 0^2 + 0^2 + 0^2)</f>
      </c>
    </row>
    <row x14ac:dyDescent="0.25" r="11" customHeight="1" ht="17.25">
      <c r="A11" s="1"/>
      <c r="B11" s="7" t="s">
        <v>34</v>
      </c>
      <c r="C11" s="7" t="s">
        <v>34</v>
      </c>
      <c r="D11" s="7" t="s">
        <v>34</v>
      </c>
      <c r="E11" s="8">
        <f>0</f>
      </c>
      <c r="F11" s="8">
        <f>0</f>
      </c>
    </row>
    <row x14ac:dyDescent="0.25" r="12" customHeight="1" ht="17.25">
      <c r="A12" s="1"/>
      <c r="B12" s="7" t="s">
        <v>194</v>
      </c>
      <c r="C12" s="7" t="s">
        <v>194</v>
      </c>
      <c r="D12" s="7" t="s">
        <v>194</v>
      </c>
      <c r="E12" s="8">
        <f>SQRT(0^2 + 0^2 + 0^2 + 0^2)</f>
      </c>
      <c r="F12" s="8">
        <f>SQRT(0^2 + 0^2 + 0^2 + 0^2)</f>
      </c>
    </row>
    <row x14ac:dyDescent="0.25" r="13" customHeight="1" ht="17.25">
      <c r="A13" s="1"/>
      <c r="B13" s="7" t="s">
        <v>195</v>
      </c>
      <c r="C13" s="7" t="s">
        <v>195</v>
      </c>
      <c r="D13" s="7" t="s">
        <v>195</v>
      </c>
      <c r="E13" s="8">
        <f>SQRT(0^2 + 0^2 + 0^2 + 0^2)</f>
      </c>
      <c r="F13" s="8">
        <f>SQRT(0^2 + 0^2 + 0^2 + 0^2)</f>
      </c>
    </row>
    <row x14ac:dyDescent="0.25" r="14" customHeight="1" ht="17.25">
      <c r="A14" s="1"/>
      <c r="B14" s="7" t="s">
        <v>196</v>
      </c>
      <c r="C14" s="7" t="s">
        <v>197</v>
      </c>
      <c r="D14" s="7" t="s">
        <v>197</v>
      </c>
      <c r="E14" s="8">
        <f>SQRT(0^2 + 0^2 + 0^2 + 0^2)</f>
      </c>
      <c r="F14" s="8">
        <f>SQRT(0^2 + 0^2 + 0^2 + 0^2)</f>
      </c>
    </row>
    <row x14ac:dyDescent="0.25" r="15" customHeight="1" ht="17.25">
      <c r="A15" s="1"/>
      <c r="B15" s="7" t="s">
        <v>198</v>
      </c>
      <c r="C15" s="7" t="s">
        <v>198</v>
      </c>
      <c r="D15" s="7" t="s">
        <v>22</v>
      </c>
      <c r="E15" s="8">
        <f>0</f>
      </c>
      <c r="F15" s="8">
        <f>1</f>
      </c>
    </row>
    <row x14ac:dyDescent="0.25" r="16" customHeight="1" ht="17.25">
      <c r="A16" s="1"/>
      <c r="B16" s="7" t="s">
        <v>199</v>
      </c>
      <c r="C16" s="7" t="s">
        <v>199</v>
      </c>
      <c r="D16" s="7" t="s">
        <v>22</v>
      </c>
      <c r="E16" s="8">
        <f>SQRT(0^2 + 0^2 + 0^2 + 0^2)</f>
      </c>
      <c r="F16" s="8">
        <f>SQRT(1^2 + 1^2 + 1^2 + 1^2)</f>
      </c>
    </row>
    <row x14ac:dyDescent="0.25" r="17" customHeight="1" ht="17.25">
      <c r="A17" s="1"/>
      <c r="B17" s="7" t="s">
        <v>200</v>
      </c>
      <c r="C17" s="7" t="s">
        <v>200</v>
      </c>
      <c r="D17" s="7" t="s">
        <v>22</v>
      </c>
      <c r="E17" s="8">
        <f>SQRT(0^2 + 0^2 + 0^2 + 0^2)</f>
      </c>
      <c r="F17" s="8">
        <f>SQRT(1^2 + 1^2 + 1^2 + 1^2)</f>
      </c>
    </row>
    <row x14ac:dyDescent="0.25" r="18" customHeight="1" ht="17.25">
      <c r="A18" s="1"/>
      <c r="B18" s="7" t="s">
        <v>201</v>
      </c>
      <c r="C18" s="7" t="s">
        <v>201</v>
      </c>
      <c r="D18" s="7" t="s">
        <v>22</v>
      </c>
      <c r="E18" s="8">
        <f>SQRT(0^2 + 0^2 + 0^2 + 0^2)</f>
      </c>
      <c r="F18" s="8">
        <f>SQRT(1^2 + 1^2 + 1^2 + 1^2)</f>
      </c>
    </row>
    <row x14ac:dyDescent="0.25" r="19" customHeight="1" ht="17.25">
      <c r="A19" s="1"/>
      <c r="B19" s="7" t="s">
        <v>202</v>
      </c>
      <c r="C19" s="7" t="s">
        <v>202</v>
      </c>
      <c r="D19" s="7" t="s">
        <v>22</v>
      </c>
      <c r="E19" s="8">
        <f>SQRT(0^2 + 0^2 + 0^2 + 0^2)</f>
      </c>
      <c r="F19" s="8">
        <f>SQRT(1^2 + 1^2 + 1^2 + 1^2)</f>
      </c>
    </row>
    <row x14ac:dyDescent="0.25" r="20" customHeight="1" ht="17.25">
      <c r="A20" s="1"/>
      <c r="B20" s="7" t="s">
        <v>203</v>
      </c>
      <c r="C20" s="7" t="s">
        <v>203</v>
      </c>
      <c r="D20" s="7" t="s">
        <v>204</v>
      </c>
      <c r="E20" s="8">
        <f>0</f>
      </c>
      <c r="F20" s="8">
        <f>0</f>
      </c>
    </row>
    <row x14ac:dyDescent="0.25" r="21" customHeight="1" ht="17.25">
      <c r="A21" s="1"/>
      <c r="B21" s="7" t="s">
        <v>205</v>
      </c>
      <c r="C21" s="7" t="s">
        <v>205</v>
      </c>
      <c r="D21" s="7" t="s">
        <v>205</v>
      </c>
      <c r="E21" s="8">
        <f>0</f>
      </c>
      <c r="F21" s="8">
        <f>0</f>
      </c>
    </row>
    <row x14ac:dyDescent="0.25" r="22" customHeight="1" ht="17.25">
      <c r="A22" s="1"/>
      <c r="B22" s="7" t="s">
        <v>206</v>
      </c>
      <c r="C22" s="7" t="s">
        <v>206</v>
      </c>
      <c r="D22" s="7" t="s">
        <v>207</v>
      </c>
      <c r="E22" s="8">
        <f>SQRT(0^2 + 0^2 + 0^2 + 0^2)</f>
      </c>
      <c r="F22" s="8">
        <f>SQRT(0^2 + 0^2 + 0^2 + 0^2)</f>
      </c>
    </row>
    <row x14ac:dyDescent="0.25" r="23" customHeight="1" ht="17.25">
      <c r="A23" s="1"/>
      <c r="B23" s="7" t="s">
        <v>208</v>
      </c>
      <c r="C23" s="7" t="s">
        <v>208</v>
      </c>
      <c r="D23" s="7" t="s">
        <v>208</v>
      </c>
      <c r="E23" s="8">
        <f>0</f>
      </c>
      <c r="F23" s="8">
        <f>0</f>
      </c>
    </row>
    <row x14ac:dyDescent="0.25" r="24" customHeight="1" ht="17.25">
      <c r="A24" s="1"/>
      <c r="B24" s="7" t="s">
        <v>209</v>
      </c>
      <c r="C24" s="7" t="s">
        <v>209</v>
      </c>
      <c r="D24" s="7" t="s">
        <v>209</v>
      </c>
      <c r="E24" s="8">
        <f>SQRT(0^2 + 0^2 + 0^2 + 0^2)</f>
      </c>
      <c r="F24" s="8">
        <f>SQRT(0^2 + 0^2 + 0^2 + 0^2)</f>
      </c>
    </row>
    <row x14ac:dyDescent="0.25" r="25" customHeight="1" ht="17.25">
      <c r="A25" s="1"/>
      <c r="B25" s="7" t="s">
        <v>210</v>
      </c>
      <c r="C25" s="7" t="s">
        <v>210</v>
      </c>
      <c r="D25" s="7" t="s">
        <v>22</v>
      </c>
      <c r="E25" s="8">
        <f>0</f>
      </c>
      <c r="F25" s="8">
        <f>1</f>
      </c>
    </row>
    <row x14ac:dyDescent="0.25" r="26" customHeight="1" ht="17.25">
      <c r="A26" s="1"/>
      <c r="B26" s="7" t="s">
        <v>211</v>
      </c>
      <c r="C26" s="7" t="s">
        <v>211</v>
      </c>
      <c r="D26" s="7" t="s">
        <v>22</v>
      </c>
      <c r="E26" s="8">
        <f>SQRT(0^2 + 0^2 + 0^2 + 0^2)</f>
      </c>
      <c r="F26" s="8">
        <f>SQRT(1^2 + 1^2 + 1^2 + 1^2)</f>
      </c>
    </row>
    <row x14ac:dyDescent="0.25" r="27" customHeight="1" ht="17.25">
      <c r="A27" s="1"/>
      <c r="B27" s="7" t="s">
        <v>212</v>
      </c>
      <c r="C27" s="7" t="s">
        <v>212</v>
      </c>
      <c r="D27" s="7" t="s">
        <v>22</v>
      </c>
      <c r="E27" s="8">
        <f>0</f>
      </c>
      <c r="F27" s="8">
        <f>1</f>
      </c>
    </row>
    <row x14ac:dyDescent="0.25" r="28" customHeight="1" ht="17.25">
      <c r="A28" s="1"/>
      <c r="B28" s="7" t="s">
        <v>22</v>
      </c>
      <c r="C28" s="7" t="s">
        <v>213</v>
      </c>
      <c r="D28" s="7" t="s">
        <v>22</v>
      </c>
      <c r="E28" s="8">
        <f>1</f>
      </c>
      <c r="F28" s="8">
        <f>0</f>
      </c>
    </row>
    <row x14ac:dyDescent="0.25" r="29" customHeight="1" ht="17.25">
      <c r="A29" s="1"/>
      <c r="B29" s="7" t="s">
        <v>22</v>
      </c>
      <c r="C29" s="7" t="s">
        <v>214</v>
      </c>
      <c r="D29" s="7" t="s">
        <v>214</v>
      </c>
      <c r="E29" s="8">
        <f>1</f>
      </c>
      <c r="F29" s="8">
        <f>1</f>
      </c>
    </row>
    <row x14ac:dyDescent="0.25" r="30" customHeight="1" ht="17.25">
      <c r="A30" s="1"/>
      <c r="B30" s="7" t="s">
        <v>22</v>
      </c>
      <c r="C30" s="7" t="s">
        <v>22</v>
      </c>
      <c r="D30" s="7" t="s">
        <v>215</v>
      </c>
      <c r="E30" s="8">
        <f>SQRT(0^2 + 0^2 + 0^2 + 0^2)</f>
      </c>
      <c r="F30" s="8">
        <f>1</f>
      </c>
    </row>
    <row x14ac:dyDescent="0.25" r="31" customHeight="1" ht="17.25">
      <c r="A31" s="1"/>
      <c r="B31" s="7" t="s">
        <v>22</v>
      </c>
      <c r="C31" s="7" t="s">
        <v>22</v>
      </c>
      <c r="D31" s="7" t="s">
        <v>216</v>
      </c>
      <c r="E31" s="8">
        <f>SQRT(0^2 + 0^2 + 0^2 + 0^2)</f>
      </c>
      <c r="F31" s="8">
        <f>1</f>
      </c>
    </row>
    <row x14ac:dyDescent="0.25" r="32" customHeight="1" ht="17.25">
      <c r="A32" s="1"/>
      <c r="B32" s="7" t="s">
        <v>217</v>
      </c>
      <c r="C32" s="7" t="s">
        <v>22</v>
      </c>
      <c r="D32" s="7" t="s">
        <v>22</v>
      </c>
      <c r="E32" s="8">
        <f>SQRT(1^2 + 1^2 + 1^2 + 1^2)</f>
      </c>
      <c r="F32" s="8">
        <f>SQRT(1^2 + 1^2 + 1^2 + 1^2)</f>
      </c>
    </row>
    <row x14ac:dyDescent="0.25" r="33" customHeight="1" ht="17.25">
      <c r="A33" s="1"/>
      <c r="B33" s="7" t="s">
        <v>218</v>
      </c>
      <c r="C33" s="7" t="s">
        <v>22</v>
      </c>
      <c r="D33" s="7" t="s">
        <v>22</v>
      </c>
      <c r="E33" s="8">
        <f>SQRT(1^2 + 1^2 + 1^2 + 1^2)</f>
      </c>
      <c r="F33" s="8">
        <f>SQRT(1^2 + 1^2 + 1^2 + 1^2)</f>
      </c>
    </row>
    <row x14ac:dyDescent="0.25" r="34" customHeight="1" ht="17.25">
      <c r="A34" s="1"/>
      <c r="B34" s="7" t="s">
        <v>219</v>
      </c>
      <c r="C34" s="7" t="s">
        <v>220</v>
      </c>
      <c r="D34" s="7" t="s">
        <v>22</v>
      </c>
      <c r="E34" s="8">
        <f>SQRT(0^2 + 0^2 + 0^2 + 0^2)</f>
      </c>
      <c r="F34" s="8">
        <f>SQRT(1^2 + 1^2 + 1^2 + 1^2)</f>
      </c>
    </row>
    <row x14ac:dyDescent="0.25" r="35" customHeight="1" ht="17.25">
      <c r="A35" s="1"/>
      <c r="B35" s="7" t="s">
        <v>221</v>
      </c>
      <c r="C35" s="7" t="s">
        <v>222</v>
      </c>
      <c r="D35" s="7" t="s">
        <v>22</v>
      </c>
      <c r="E35" s="10">
        <f>SQRT(0^2 + 0^2 + 1^2 + 1^2)</f>
      </c>
      <c r="F35" s="8">
        <f>SQRT(1^2 + 1^2 + 1^2 + 1^2)</f>
      </c>
    </row>
    <row x14ac:dyDescent="0.25" r="36" customHeight="1" ht="17.25">
      <c r="A36" s="1"/>
      <c r="B36" s="7" t="s">
        <v>223</v>
      </c>
      <c r="C36" s="7" t="s">
        <v>22</v>
      </c>
      <c r="D36" s="7" t="s">
        <v>22</v>
      </c>
      <c r="E36" s="8">
        <f>SQRT(1^2 + 1^2 + 1^2 + 1^2)</f>
      </c>
      <c r="F36" s="8">
        <f>SQRT(1^2 + 1^2 + 1^2 + 1^2)</f>
      </c>
    </row>
    <row x14ac:dyDescent="0.25" r="37" customHeight="1" ht="17.25">
      <c r="A37" s="1"/>
      <c r="B37" s="7" t="s">
        <v>224</v>
      </c>
      <c r="C37" s="7" t="s">
        <v>22</v>
      </c>
      <c r="D37" s="7" t="s">
        <v>225</v>
      </c>
      <c r="E37" s="8">
        <f>SQRT(1^2 + 1^2 + 1^2 + 1^2)</f>
      </c>
      <c r="F37" s="10">
        <f>SQRT(0^2 + 0^2 + 1^2 + 1^2)</f>
      </c>
    </row>
    <row x14ac:dyDescent="0.25" r="38" customHeight="1" ht="17.25">
      <c r="A38" s="1"/>
      <c r="B38" s="7" t="s">
        <v>226</v>
      </c>
      <c r="C38" s="7" t="s">
        <v>22</v>
      </c>
      <c r="D38" s="7" t="s">
        <v>226</v>
      </c>
      <c r="E38" s="8">
        <f>SQRT(1^2 + 1^2 + 1^2 + 1^2)</f>
      </c>
      <c r="F38" s="8">
        <f>SQRT(0^2 + 0^2 + 0^2 + 0^2)</f>
      </c>
    </row>
    <row x14ac:dyDescent="0.25" r="39" customHeight="1" ht="17.25">
      <c r="A39" s="1"/>
      <c r="B39" s="7" t="s">
        <v>227</v>
      </c>
      <c r="C39" s="7" t="s">
        <v>227</v>
      </c>
      <c r="D39" s="7" t="s">
        <v>22</v>
      </c>
      <c r="E39" s="8">
        <f>SQRT(0^2 + 0^2 + 0^2 + 0^2)</f>
      </c>
      <c r="F39" s="8">
        <f>SQRT(1^2 + 1^2 + 1^2 + 1^2)</f>
      </c>
    </row>
    <row x14ac:dyDescent="0.25" r="40" customHeight="1" ht="17.25">
      <c r="A40" s="1"/>
      <c r="B40" s="7" t="s">
        <v>69</v>
      </c>
      <c r="C40" s="7" t="s">
        <v>228</v>
      </c>
      <c r="D40" s="7" t="s">
        <v>22</v>
      </c>
      <c r="E40" s="10">
        <f>SQRT(0^2 + 0^2 + 1^2 + 1^2)</f>
      </c>
      <c r="F40" s="8">
        <f>SQRT(1^2 + 1^2 + 1^2 + 1^2)</f>
      </c>
    </row>
    <row x14ac:dyDescent="0.25" r="41" customHeight="1" ht="17.25">
      <c r="A41" s="1"/>
      <c r="B41" s="7" t="s">
        <v>229</v>
      </c>
      <c r="C41" s="7" t="s">
        <v>229</v>
      </c>
      <c r="D41" s="7" t="s">
        <v>229</v>
      </c>
      <c r="E41" s="8">
        <f>SQRT(0^2 + 0^2 + 0^2 + 0^2)</f>
      </c>
      <c r="F41" s="8">
        <f>SQRT(0^2 + 0^2 + 0^2 + 0^2)</f>
      </c>
    </row>
    <row x14ac:dyDescent="0.25" r="42" customHeight="1" ht="17.25">
      <c r="A42" s="1"/>
      <c r="B42" s="7" t="s">
        <v>230</v>
      </c>
      <c r="C42" s="7" t="s">
        <v>230</v>
      </c>
      <c r="D42" s="7" t="s">
        <v>230</v>
      </c>
      <c r="E42" s="8">
        <f>SQRT(0^2 + 0^2 + 0^2 + 0^2)</f>
      </c>
      <c r="F42" s="8">
        <f>SQRT(0^2 + 0^2 + 0^2 + 0^2)</f>
      </c>
    </row>
    <row x14ac:dyDescent="0.25" r="43" customHeight="1" ht="17.25">
      <c r="A43" s="1"/>
      <c r="B43" s="7" t="s">
        <v>231</v>
      </c>
      <c r="C43" s="7" t="s">
        <v>231</v>
      </c>
      <c r="D43" s="7" t="s">
        <v>231</v>
      </c>
      <c r="E43" s="8">
        <f>SQRT(0^2 + 0^2 + 0^2 + 0^2)</f>
      </c>
      <c r="F43" s="8">
        <f>SQRT(0^2 + 0^2 + 0^2 + 0^2)</f>
      </c>
    </row>
    <row x14ac:dyDescent="0.25" r="44" customHeight="1" ht="17.25">
      <c r="A44" s="1"/>
      <c r="B44" s="7" t="s">
        <v>232</v>
      </c>
      <c r="C44" s="7" t="s">
        <v>232</v>
      </c>
      <c r="D44" s="7" t="s">
        <v>22</v>
      </c>
      <c r="E44" s="8">
        <f>SQRT(0^2 + 0^2 + 0^2 + 0^2)</f>
      </c>
      <c r="F44" s="8">
        <f>SQRT(1^2 + 1^2 + 1^2 + 1^2)</f>
      </c>
    </row>
    <row x14ac:dyDescent="0.25" r="45" customHeight="1" ht="17.25">
      <c r="A45" s="1"/>
      <c r="B45" s="7" t="s">
        <v>233</v>
      </c>
      <c r="C45" s="7" t="s">
        <v>234</v>
      </c>
      <c r="D45" s="7" t="s">
        <v>22</v>
      </c>
      <c r="E45" s="8">
        <f>SQRT(0^2 + 0^2 + 1^2 + 0^2)</f>
      </c>
      <c r="F45" s="8">
        <f>SQRT(1^2 + 1^2 + 1^2 + 1^2)</f>
      </c>
    </row>
    <row x14ac:dyDescent="0.25" r="46" customHeight="1" ht="17.25">
      <c r="A46" s="1"/>
      <c r="B46" s="7" t="s">
        <v>22</v>
      </c>
      <c r="C46" s="7" t="s">
        <v>235</v>
      </c>
      <c r="D46" s="7" t="s">
        <v>22</v>
      </c>
      <c r="E46" s="8">
        <f>SQRT(1^2 + 1^2 + 1^2 + 1^2)</f>
      </c>
      <c r="F46" s="8">
        <f>SQRT(0^2 + 0^2 + 0^2 + 0^2)</f>
      </c>
    </row>
    <row x14ac:dyDescent="0.25" r="47" customHeight="1" ht="17.25">
      <c r="A47" s="1"/>
      <c r="B47" s="7" t="s">
        <v>22</v>
      </c>
      <c r="C47" s="7" t="s">
        <v>236</v>
      </c>
      <c r="D47" s="7" t="s">
        <v>22</v>
      </c>
      <c r="E47" s="8">
        <f>SQRT(1^2 + 1^2 + 1^2 + 1^2)</f>
      </c>
      <c r="F47" s="8">
        <f>SQRT(0^2 + 0^2 + 0^2 + 0^2)</f>
      </c>
    </row>
    <row x14ac:dyDescent="0.25" r="48" customHeight="1" ht="17.25">
      <c r="A48" s="1"/>
      <c r="B48" s="7" t="s">
        <v>22</v>
      </c>
      <c r="C48" s="7" t="s">
        <v>237</v>
      </c>
      <c r="D48" s="7" t="s">
        <v>22</v>
      </c>
      <c r="E48" s="8">
        <f>SQRT(1^2 + 1^2 + 1^2 + 1^2)</f>
      </c>
      <c r="F48" s="8">
        <f>SQRT(0^2 + 0^2 + 0^2 + 0^2)</f>
      </c>
    </row>
    <row x14ac:dyDescent="0.25" r="49" customHeight="1" ht="17.25">
      <c r="A49" s="1"/>
      <c r="B49" s="7" t="s">
        <v>22</v>
      </c>
      <c r="C49" s="7" t="s">
        <v>238</v>
      </c>
      <c r="D49" s="7" t="s">
        <v>22</v>
      </c>
      <c r="E49" s="8">
        <f>SQRT(1^2 + 1^2 + 1^2 + 1^2)</f>
      </c>
      <c r="F49" s="8">
        <f>SQRT(0^2 + 0^2 + 0^2 + 0^2)</f>
      </c>
    </row>
    <row x14ac:dyDescent="0.25" r="50" customHeight="1" ht="17.25">
      <c r="A50" s="1"/>
      <c r="B50" s="7" t="s">
        <v>22</v>
      </c>
      <c r="C50" s="7" t="s">
        <v>239</v>
      </c>
      <c r="D50" s="7" t="s">
        <v>22</v>
      </c>
      <c r="E50" s="8">
        <f>SQRT(1^2 + 1^2 + 1^2 + 1^2)</f>
      </c>
      <c r="F50" s="8">
        <f>SQRT(0^2 + 0^2 + 0^2 + 0^2)</f>
      </c>
    </row>
    <row x14ac:dyDescent="0.25" r="51" customHeight="1" ht="17.25">
      <c r="A51" s="1"/>
      <c r="B51" s="7" t="s">
        <v>22</v>
      </c>
      <c r="C51" s="7" t="s">
        <v>240</v>
      </c>
      <c r="D51" s="7" t="s">
        <v>240</v>
      </c>
      <c r="E51" s="8">
        <f>SQRT(1^2 + 1^2 + 1^2 + 1^2)</f>
      </c>
      <c r="F51" s="8">
        <f>SQRT(1^2 + 1^2 + 1^2 + 1^2)</f>
      </c>
    </row>
    <row x14ac:dyDescent="0.25" r="52" customHeight="1" ht="17.25">
      <c r="A52" s="1"/>
      <c r="B52" s="7" t="s">
        <v>22</v>
      </c>
      <c r="C52" s="7" t="s">
        <v>22</v>
      </c>
      <c r="D52" s="7" t="s">
        <v>241</v>
      </c>
      <c r="E52" s="8">
        <f>SQRT(0^2 + 0^2 + 0^2 + 0^2)</f>
      </c>
      <c r="F52" s="8">
        <f>SQRT(1^2 + 1^2 + 1^2 + 1^2)</f>
      </c>
    </row>
    <row x14ac:dyDescent="0.25" r="53" customHeight="1" ht="17.25">
      <c r="A53" s="1"/>
      <c r="B53" s="7" t="s">
        <v>22</v>
      </c>
      <c r="C53" s="7" t="s">
        <v>22</v>
      </c>
      <c r="D53" s="7" t="s">
        <v>242</v>
      </c>
      <c r="E53" s="8">
        <f>SQRT(0^2 + 0^2 + 0^2 + 0^2)</f>
      </c>
      <c r="F53" s="8">
        <f>SQRT(1^2 + 1^2 + 1^2 + 1^2)</f>
      </c>
    </row>
    <row x14ac:dyDescent="0.25" r="54" customHeight="1" ht="17.25">
      <c r="A54" s="1"/>
      <c r="B54" s="7" t="s">
        <v>22</v>
      </c>
      <c r="C54" s="7" t="s">
        <v>22</v>
      </c>
      <c r="D54" s="7" t="s">
        <v>243</v>
      </c>
      <c r="E54" s="8">
        <f>SQRT(0^2 + 0^2 + 0^2 + 0^2)</f>
      </c>
      <c r="F54" s="8">
        <f>SQRT(1^2 + 1^2 + 1^2 + 1^2)</f>
      </c>
    </row>
    <row x14ac:dyDescent="0.25" r="55" customHeight="1" ht="17.25">
      <c r="A55" s="1"/>
      <c r="B55" s="7" t="s">
        <v>22</v>
      </c>
      <c r="C55" s="7" t="s">
        <v>22</v>
      </c>
      <c r="D55" s="7" t="s">
        <v>244</v>
      </c>
      <c r="E55" s="8">
        <f>SQRT(0^2 + 0^2 + 0^2 + 0^2)</f>
      </c>
      <c r="F55" s="8">
        <f>SQRT(1^2 + 1^2 + 1^2 + 1^2)</f>
      </c>
    </row>
    <row x14ac:dyDescent="0.25" r="56" customHeight="1" ht="17.25">
      <c r="A56" s="1"/>
      <c r="B56" s="1"/>
      <c r="C56" s="1"/>
      <c r="D56" s="19"/>
      <c r="E56" s="3"/>
      <c r="F56" s="3"/>
    </row>
    <row x14ac:dyDescent="0.25" r="57" customHeight="1" ht="17.25">
      <c r="A57" s="1"/>
      <c r="B57" s="1"/>
      <c r="C57" s="1"/>
      <c r="D57" s="19"/>
      <c r="E57" s="3"/>
      <c r="F57" s="3"/>
    </row>
    <row x14ac:dyDescent="0.25" r="58" customHeight="1" ht="17.25">
      <c r="A58" s="1"/>
      <c r="B58" s="1"/>
      <c r="C58" s="1"/>
      <c r="D58" s="7" t="s">
        <v>82</v>
      </c>
      <c r="E58" s="10">
        <f>SQRT(SUMSQ(E3:E55))</f>
      </c>
      <c r="F58" s="10">
        <f>SQRT(SUMSQ(F3:F55))</f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3.71928571428572" customWidth="1" bestFit="1"/>
    <col min="3" max="3" style="11" width="26.719285714285714" customWidth="1" bestFit="1"/>
    <col min="4" max="4" style="20" width="30.290714285714284" customWidth="1" bestFit="1"/>
    <col min="5" max="5" style="13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8.75">
      <c r="A2" s="1"/>
      <c r="B2" s="7" t="s">
        <v>14</v>
      </c>
      <c r="C2" s="7" t="s">
        <v>10</v>
      </c>
      <c r="D2" s="7" t="s">
        <v>11</v>
      </c>
      <c r="E2" s="4" t="s">
        <v>15</v>
      </c>
      <c r="F2" s="6" t="s">
        <v>16</v>
      </c>
    </row>
    <row x14ac:dyDescent="0.25" r="3" customHeight="1" ht="18.75">
      <c r="A3" s="1"/>
      <c r="B3" s="7" t="s">
        <v>83</v>
      </c>
      <c r="C3" s="7" t="s">
        <v>83</v>
      </c>
      <c r="D3" s="7" t="s">
        <v>83</v>
      </c>
      <c r="E3" s="8">
        <f>0</f>
      </c>
      <c r="F3" s="8">
        <f>0</f>
      </c>
    </row>
    <row x14ac:dyDescent="0.25" r="4" customHeight="1" ht="18.75">
      <c r="A4" s="1"/>
      <c r="B4" s="7" t="s">
        <v>137</v>
      </c>
      <c r="C4" s="7" t="s">
        <v>138</v>
      </c>
      <c r="D4" s="7" t="s">
        <v>139</v>
      </c>
      <c r="E4" s="8">
        <f>SQRT(0^2 + 0^2 + 0^2 + 0^2)</f>
      </c>
      <c r="F4" s="8">
        <f>SQRT(0^2 + 0^2 + 1^2 + 0^2)</f>
      </c>
    </row>
    <row x14ac:dyDescent="0.25" r="5" customHeight="1" ht="18.75">
      <c r="A5" s="1"/>
      <c r="B5" s="7" t="s">
        <v>140</v>
      </c>
      <c r="C5" s="7" t="s">
        <v>141</v>
      </c>
      <c r="D5" s="7" t="s">
        <v>22</v>
      </c>
      <c r="E5" s="8">
        <f>SQRT(0^2 + 0^2 + 0^2 + 0^2)</f>
      </c>
      <c r="F5" s="8">
        <f>SQRT(1^2 + 1^2 + 1^2 + 1^2)</f>
      </c>
    </row>
    <row x14ac:dyDescent="0.25" r="6" customHeight="1" ht="18.75">
      <c r="A6" s="1"/>
      <c r="B6" s="7" t="s">
        <v>142</v>
      </c>
      <c r="C6" s="7" t="s">
        <v>22</v>
      </c>
      <c r="D6" s="7" t="s">
        <v>22</v>
      </c>
      <c r="E6" s="8">
        <f>SQRT(1^2 + 1^2 + 1^2 + 1^2)</f>
      </c>
      <c r="F6" s="8">
        <f>SQRT(1^2 + 1^2 + 1^2 + 1^2)</f>
      </c>
    </row>
    <row x14ac:dyDescent="0.25" r="7" customHeight="1" ht="18.75">
      <c r="A7" s="1"/>
      <c r="B7" s="7" t="s">
        <v>22</v>
      </c>
      <c r="C7" s="7" t="s">
        <v>143</v>
      </c>
      <c r="D7" s="7" t="s">
        <v>144</v>
      </c>
      <c r="E7" s="10">
        <f>SQRT(1^2 + 1^2 + 1^2 + 1^2 + 0.5^2 + 1^2)</f>
      </c>
      <c r="F7" s="10">
        <f>SQRT(1^2 + 1^2 + 1^2 + 1^2 + 0.5^2 + 1^2)</f>
      </c>
    </row>
    <row x14ac:dyDescent="0.25" r="8" customHeight="1" ht="18.75">
      <c r="A8" s="1"/>
      <c r="B8" s="7" t="s">
        <v>145</v>
      </c>
      <c r="C8" s="7" t="s">
        <v>146</v>
      </c>
      <c r="D8" s="7" t="s">
        <v>147</v>
      </c>
      <c r="E8" s="8">
        <f>0</f>
      </c>
      <c r="F8" s="8">
        <f>0</f>
      </c>
    </row>
    <row x14ac:dyDescent="0.25" r="9" customHeight="1" ht="18.75">
      <c r="A9" s="1"/>
      <c r="B9" s="7" t="s">
        <v>148</v>
      </c>
      <c r="C9" s="7" t="s">
        <v>149</v>
      </c>
      <c r="D9" s="7" t="s">
        <v>150</v>
      </c>
      <c r="E9" s="8">
        <f>SQRT(0^2 + 0^2 + 0^2 + 0^2)</f>
      </c>
      <c r="F9" s="8">
        <f>SQRT(0^2 + 0^2 + 0^2 + 1^2)</f>
      </c>
    </row>
    <row x14ac:dyDescent="0.25" r="10" customHeight="1" ht="18.75">
      <c r="A10" s="1"/>
      <c r="B10" s="7" t="s">
        <v>151</v>
      </c>
      <c r="C10" s="7" t="s">
        <v>151</v>
      </c>
      <c r="D10" s="7" t="s">
        <v>152</v>
      </c>
      <c r="E10" s="8">
        <f>0</f>
      </c>
      <c r="F10" s="8">
        <f>0</f>
      </c>
    </row>
    <row x14ac:dyDescent="0.25" r="11" customHeight="1" ht="18.75">
      <c r="A11" s="1"/>
      <c r="B11" s="7" t="s">
        <v>153</v>
      </c>
      <c r="C11" s="7" t="s">
        <v>154</v>
      </c>
      <c r="D11" s="7" t="s">
        <v>155</v>
      </c>
      <c r="E11" s="8">
        <f>SQRT(0^2 + 0^2 + 0^2 + 0^2)</f>
      </c>
      <c r="F11" s="8">
        <f>SQRT(0^2 + 0^2 + 0^2 + 1^2)</f>
      </c>
    </row>
    <row x14ac:dyDescent="0.25" r="12" customHeight="1" ht="18.75">
      <c r="A12" s="1"/>
      <c r="B12" s="7" t="s">
        <v>156</v>
      </c>
      <c r="C12" s="7" t="s">
        <v>157</v>
      </c>
      <c r="D12" s="7" t="s">
        <v>158</v>
      </c>
      <c r="E12" s="10">
        <f>0.5</f>
      </c>
      <c r="F12" s="8">
        <f>0</f>
      </c>
    </row>
    <row x14ac:dyDescent="0.25" r="13" customHeight="1" ht="18.75">
      <c r="A13" s="1"/>
      <c r="B13" s="7" t="s">
        <v>159</v>
      </c>
      <c r="C13" s="7" t="s">
        <v>160</v>
      </c>
      <c r="D13" s="7" t="s">
        <v>161</v>
      </c>
      <c r="E13" s="8">
        <f>SQRT(0^2 + 0^2 + 0^2 + 1^2)</f>
      </c>
      <c r="F13" s="8">
        <f>SQRT(0^2 + 0^2 + 0^2 + 0^2)</f>
      </c>
    </row>
    <row x14ac:dyDescent="0.25" r="14" customHeight="1" ht="18.75">
      <c r="A14" s="1"/>
      <c r="B14" s="7" t="s">
        <v>162</v>
      </c>
      <c r="C14" s="7" t="s">
        <v>163</v>
      </c>
      <c r="D14" s="7" t="s">
        <v>164</v>
      </c>
      <c r="E14" s="8">
        <f>SQRT(0^2 + 0^2 + 0^2 + 1^2)</f>
      </c>
      <c r="F14" s="8">
        <f>SQRT(0^2 + 0^2 + 0^2 + 0^2)</f>
      </c>
    </row>
    <row x14ac:dyDescent="0.25" r="15" customHeight="1" ht="18.75">
      <c r="A15" s="1"/>
      <c r="B15" s="7" t="s">
        <v>165</v>
      </c>
      <c r="C15" s="7" t="s">
        <v>165</v>
      </c>
      <c r="D15" s="7" t="s">
        <v>165</v>
      </c>
      <c r="E15" s="8">
        <v>0</v>
      </c>
      <c r="F15" s="8">
        <f>0</f>
      </c>
    </row>
    <row x14ac:dyDescent="0.25" r="16" customHeight="1" ht="18.75">
      <c r="A16" s="1"/>
      <c r="B16" s="7" t="s">
        <v>166</v>
      </c>
      <c r="C16" s="7" t="s">
        <v>166</v>
      </c>
      <c r="D16" s="7" t="s">
        <v>166</v>
      </c>
      <c r="E16" s="8">
        <f>SQRT(0^2 + 0^2 + 0^2 + 0^2)</f>
      </c>
      <c r="F16" s="8">
        <f>SQRT(0^2 + 0^2 + 0^2 + 0^2)</f>
      </c>
    </row>
    <row x14ac:dyDescent="0.25" r="17" customHeight="1" ht="18.75">
      <c r="A17" s="1"/>
      <c r="B17" s="7" t="s">
        <v>167</v>
      </c>
      <c r="C17" s="7" t="s">
        <v>167</v>
      </c>
      <c r="D17" s="7" t="s">
        <v>167</v>
      </c>
      <c r="E17" s="8">
        <f>SQRT(0^2 + 0^2 + 0^2 + 0^2)</f>
      </c>
      <c r="F17" s="8">
        <f>SQRT(0^2 + 0^2 + 0^2 + 0^2)</f>
      </c>
    </row>
    <row x14ac:dyDescent="0.25" r="18" customHeight="1" ht="18.75">
      <c r="A18" s="1"/>
      <c r="B18" s="7" t="s">
        <v>168</v>
      </c>
      <c r="C18" s="7" t="s">
        <v>168</v>
      </c>
      <c r="D18" s="7" t="s">
        <v>168</v>
      </c>
      <c r="E18" s="8">
        <f>0</f>
      </c>
      <c r="F18" s="8">
        <f>0</f>
      </c>
    </row>
    <row x14ac:dyDescent="0.25" r="19" customHeight="1" ht="18.75">
      <c r="A19" s="1"/>
      <c r="B19" s="7" t="s">
        <v>169</v>
      </c>
      <c r="C19" s="7" t="s">
        <v>169</v>
      </c>
      <c r="D19" s="7" t="s">
        <v>170</v>
      </c>
      <c r="E19" s="8">
        <f>SQRT(0^2 + 0^2 + 0^2 + 0^2)</f>
      </c>
      <c r="F19" s="8">
        <f>SQRT(0^2 + 0^2 + 0^2 + 0^2)</f>
      </c>
    </row>
    <row x14ac:dyDescent="0.25" r="20" customHeight="1" ht="18.75">
      <c r="A20" s="1"/>
      <c r="B20" s="7" t="s">
        <v>171</v>
      </c>
      <c r="C20" s="7" t="s">
        <v>172</v>
      </c>
      <c r="D20" s="7" t="s">
        <v>173</v>
      </c>
      <c r="E20" s="8">
        <f>SQRT(0^2 + 0^2 + 0^2 + 0^2)</f>
      </c>
      <c r="F20" s="8">
        <f>SQRT(0^2 + 0^2 + 0^2 + 0^2)</f>
      </c>
    </row>
    <row x14ac:dyDescent="0.25" r="21" customHeight="1" ht="18.75">
      <c r="A21" s="1"/>
      <c r="B21" s="7" t="s">
        <v>174</v>
      </c>
      <c r="C21" s="7" t="s">
        <v>175</v>
      </c>
      <c r="D21" s="7" t="s">
        <v>176</v>
      </c>
      <c r="E21" s="8">
        <f>SQRT(0^2 + 0^2 + 0^2 + 0^2)</f>
      </c>
      <c r="F21" s="8">
        <f>SQRT(0^2 + 0^2 + 0^2 + 0^2)</f>
      </c>
    </row>
    <row x14ac:dyDescent="0.25" r="22" customHeight="1" ht="18.75">
      <c r="A22" s="1"/>
      <c r="B22" s="7" t="s">
        <v>177</v>
      </c>
      <c r="C22" s="7" t="s">
        <v>178</v>
      </c>
      <c r="D22" s="7" t="s">
        <v>179</v>
      </c>
      <c r="E22" s="8">
        <f>SQRT(0^2 + 0^2 + 1^2 + 0^2)</f>
      </c>
      <c r="F22" s="8">
        <f>SQRT(0^2 + 0^2 + 1^2 + 0^2)</f>
      </c>
    </row>
    <row x14ac:dyDescent="0.25" r="23" customHeight="1" ht="18.75">
      <c r="A23" s="1"/>
      <c r="B23" s="7" t="s">
        <v>180</v>
      </c>
      <c r="C23" s="7" t="s">
        <v>180</v>
      </c>
      <c r="D23" s="7" t="s">
        <v>22</v>
      </c>
      <c r="E23" s="8">
        <f>SQRT(0^2 + 0^2 + 0^2 + 1^2)</f>
      </c>
      <c r="F23" s="8">
        <f>SQRT(1^2 + 1^2 + 1^2 + 1^2)</f>
      </c>
    </row>
    <row x14ac:dyDescent="0.25" r="24" customHeight="1" ht="18.75">
      <c r="A24" s="1"/>
      <c r="B24" s="7" t="s">
        <v>181</v>
      </c>
      <c r="C24" s="7" t="s">
        <v>181</v>
      </c>
      <c r="D24" s="7" t="s">
        <v>181</v>
      </c>
      <c r="E24" s="8">
        <f>SQRT(0^2 + 0^2 + 0^2 + 0^2)</f>
      </c>
      <c r="F24" s="8">
        <f>SQRT(0^2 + 0^2 + 0^2 + 0^2)</f>
      </c>
    </row>
    <row x14ac:dyDescent="0.25" r="25" customHeight="1" ht="18.75">
      <c r="A25" s="1"/>
      <c r="B25" s="7" t="s">
        <v>182</v>
      </c>
      <c r="C25" s="7" t="s">
        <v>183</v>
      </c>
      <c r="D25" s="7" t="s">
        <v>22</v>
      </c>
      <c r="E25" s="8">
        <f>SQRT(0^2 + 0^2 + 1^2 + 0^2)</f>
      </c>
      <c r="F25" s="8">
        <f>SQRT(1^2 + 1^2 + 1^2 + 1^2)</f>
      </c>
    </row>
    <row x14ac:dyDescent="0.25" r="26" customHeight="1" ht="17.25">
      <c r="A26" s="1"/>
      <c r="B26" s="1"/>
      <c r="C26" s="1"/>
      <c r="D26" s="19"/>
      <c r="E26" s="3"/>
      <c r="F26" s="3"/>
    </row>
    <row x14ac:dyDescent="0.25" r="27" customHeight="1" ht="17.25">
      <c r="A27" s="1"/>
      <c r="B27" s="1"/>
      <c r="C27" s="1"/>
      <c r="D27" s="19"/>
      <c r="E27" s="3"/>
      <c r="F27" s="3"/>
    </row>
    <row x14ac:dyDescent="0.25" r="28" customHeight="1" ht="18.75">
      <c r="A28" s="1"/>
      <c r="B28" s="1"/>
      <c r="C28" s="1"/>
      <c r="D28" s="7" t="s">
        <v>82</v>
      </c>
      <c r="E28" s="10">
        <f>SQRT(SUMSQ(E3:E25))</f>
      </c>
      <c r="F28" s="10">
        <f>SQRT(SUMSQ(F3:F25))</f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9"/>
  <sheetViews>
    <sheetView workbookViewId="0"/>
  </sheetViews>
  <sheetFormatPr defaultRowHeight="15" x14ac:dyDescent="0.25"/>
  <cols>
    <col min="1" max="1" style="11" width="12.43357142857143" customWidth="1" bestFit="1"/>
    <col min="2" max="2" style="11" width="33.43357142857143" customWidth="1" bestFit="1"/>
    <col min="3" max="3" style="11" width="33.43357142857143" customWidth="1" bestFit="1"/>
    <col min="4" max="4" style="20" width="27.147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6" t="s">
        <v>16</v>
      </c>
    </row>
    <row x14ac:dyDescent="0.25" r="3" customHeight="1" ht="17.25">
      <c r="A3" s="1"/>
      <c r="B3" s="7" t="s">
        <v>83</v>
      </c>
      <c r="C3" s="7" t="s">
        <v>83</v>
      </c>
      <c r="D3" s="7" t="s">
        <v>22</v>
      </c>
      <c r="E3" s="8">
        <f>0</f>
      </c>
      <c r="F3" s="8">
        <f>1</f>
      </c>
    </row>
    <row x14ac:dyDescent="0.25" r="4" customHeight="1" ht="17.25">
      <c r="A4" s="1"/>
      <c r="B4" s="7" t="s">
        <v>84</v>
      </c>
      <c r="C4" s="7" t="s">
        <v>84</v>
      </c>
      <c r="D4" s="7" t="s">
        <v>22</v>
      </c>
      <c r="E4" s="8">
        <f>SQRT(0^2 + 0^2 + 0^2 + 0^2)</f>
      </c>
      <c r="F4" s="8">
        <f>SQRT(1^2 + 1^2 + 1^2 + 1^2)</f>
      </c>
    </row>
    <row x14ac:dyDescent="0.25" r="5" customHeight="1" ht="17.25">
      <c r="A5" s="1"/>
      <c r="B5" s="7" t="s">
        <v>85</v>
      </c>
      <c r="C5" s="7" t="s">
        <v>85</v>
      </c>
      <c r="D5" s="7" t="s">
        <v>86</v>
      </c>
      <c r="E5" s="8">
        <f>SQRT(0^2 + 0^2 + 0^2 + 0^2)</f>
      </c>
      <c r="F5" s="8">
        <f>SQRT(0^2 + 0^2 + 0^2 + 0^2)</f>
      </c>
    </row>
    <row x14ac:dyDescent="0.25" r="6" customHeight="1" ht="17.25">
      <c r="A6" s="1"/>
      <c r="B6" s="7" t="s">
        <v>87</v>
      </c>
      <c r="C6" s="7" t="s">
        <v>87</v>
      </c>
      <c r="D6" s="7" t="s">
        <v>22</v>
      </c>
      <c r="E6" s="8">
        <f>SQRT(0^2 + 0^2 + 0^2 + 0^2)</f>
      </c>
      <c r="F6" s="8">
        <f>SQRT(1^2 + 1^2 + 1^2 + 1^2)</f>
      </c>
    </row>
    <row x14ac:dyDescent="0.25" r="7" customHeight="1" ht="17.25">
      <c r="A7" s="1"/>
      <c r="B7" s="7" t="s">
        <v>88</v>
      </c>
      <c r="C7" s="7" t="s">
        <v>88</v>
      </c>
      <c r="D7" s="7" t="s">
        <v>22</v>
      </c>
      <c r="E7" s="8">
        <f>SQRT(0^2 + 0^2 + 0^2 + 0^2 + 0^2 + 0^2)</f>
      </c>
      <c r="F7" s="10">
        <f>SQRT(1^2 + 1^2 + 1^2 + 1^2 + 0.5^2 + 1^2)</f>
      </c>
    </row>
    <row x14ac:dyDescent="0.25" r="8" customHeight="1" ht="17.25">
      <c r="A8" s="1"/>
      <c r="B8" s="7" t="s">
        <v>89</v>
      </c>
      <c r="C8" s="7" t="s">
        <v>89</v>
      </c>
      <c r="D8" s="7" t="s">
        <v>22</v>
      </c>
      <c r="E8" s="8">
        <f>SQRT(0^2 + 0^2 + 0^2 + 0^2 + 0^2 + 0^2)</f>
      </c>
      <c r="F8" s="10">
        <f>SQRT(1^2 + 1^2 + 1^2 + 1^2 + 0.5^2 + 1^2)</f>
      </c>
    </row>
    <row x14ac:dyDescent="0.25" r="9" customHeight="1" ht="17.25">
      <c r="A9" s="1"/>
      <c r="B9" s="7" t="s">
        <v>90</v>
      </c>
      <c r="C9" s="7" t="s">
        <v>90</v>
      </c>
      <c r="D9" s="7" t="s">
        <v>90</v>
      </c>
      <c r="E9" s="8">
        <f>0</f>
      </c>
      <c r="F9" s="8">
        <f>0</f>
      </c>
    </row>
    <row x14ac:dyDescent="0.25" r="10" customHeight="1" ht="17.25">
      <c r="A10" s="1"/>
      <c r="B10" s="7" t="s">
        <v>91</v>
      </c>
      <c r="C10" s="7" t="s">
        <v>22</v>
      </c>
      <c r="D10" s="7" t="s">
        <v>22</v>
      </c>
      <c r="E10" s="8">
        <f>SQRT(1^2 + 1^2 + 1^2 + 1^2)</f>
      </c>
      <c r="F10" s="8">
        <f>SQRT(1^2 + 1^2 + 1^2 + 1^2)</f>
      </c>
    </row>
    <row x14ac:dyDescent="0.25" r="11" customHeight="1" ht="17.25">
      <c r="A11" s="1"/>
      <c r="B11" s="7" t="s">
        <v>92</v>
      </c>
      <c r="C11" s="7" t="s">
        <v>93</v>
      </c>
      <c r="D11" s="7" t="s">
        <v>22</v>
      </c>
      <c r="E11" s="8">
        <f>SQRT(0^2 + 0^2 + 1^2 + 0^2)</f>
      </c>
      <c r="F11" s="8">
        <f>SQRT(1^2 + 1^2 + 1^2 + 1^2)</f>
      </c>
    </row>
    <row x14ac:dyDescent="0.25" r="12" customHeight="1" ht="17.25">
      <c r="A12" s="1"/>
      <c r="B12" s="7" t="s">
        <v>94</v>
      </c>
      <c r="C12" s="7" t="s">
        <v>94</v>
      </c>
      <c r="D12" s="7" t="s">
        <v>22</v>
      </c>
      <c r="E12" s="8">
        <f>SQRT(0^2 + 0^2 + 0^2 + 0^2 + 0^2 + 0^2)</f>
      </c>
      <c r="F12" s="10">
        <f>SQRT(1^2 + 1^2 + 1^2 + 1^2 + 0.5^2 + 1^2)</f>
      </c>
    </row>
    <row x14ac:dyDescent="0.25" r="13" customHeight="1" ht="17.25">
      <c r="A13" s="1"/>
      <c r="B13" s="7" t="s">
        <v>95</v>
      </c>
      <c r="C13" s="7" t="s">
        <v>95</v>
      </c>
      <c r="D13" s="7" t="s">
        <v>22</v>
      </c>
      <c r="E13" s="8">
        <f>SQRT(0^2 + 0^2 + 0^2 + 0^2 + 0^2 + 0^2)</f>
      </c>
      <c r="F13" s="10">
        <f>SQRT(1^2 + 1^2 + 1^2 + 1^2 + 0.5^2 + 1^2)</f>
      </c>
    </row>
    <row x14ac:dyDescent="0.25" r="14" customHeight="1" ht="17.25">
      <c r="A14" s="1"/>
      <c r="B14" s="7" t="s">
        <v>96</v>
      </c>
      <c r="C14" s="7" t="s">
        <v>96</v>
      </c>
      <c r="D14" s="7" t="s">
        <v>96</v>
      </c>
      <c r="E14" s="8">
        <f>0</f>
      </c>
      <c r="F14" s="8">
        <f>0</f>
      </c>
    </row>
    <row x14ac:dyDescent="0.25" r="15" customHeight="1" ht="17.25">
      <c r="A15" s="1"/>
      <c r="B15" s="7" t="s">
        <v>97</v>
      </c>
      <c r="C15" s="7" t="s">
        <v>97</v>
      </c>
      <c r="D15" s="7" t="s">
        <v>22</v>
      </c>
      <c r="E15" s="8">
        <f>SQRT(0^2 + 0^2 + 0^2 + 0^2)</f>
      </c>
      <c r="F15" s="8">
        <f>SQRT(1^2 + 1^2 + 1^2 + 1^2)</f>
      </c>
    </row>
    <row x14ac:dyDescent="0.25" r="16" customHeight="1" ht="17.25">
      <c r="A16" s="1"/>
      <c r="B16" s="7" t="s">
        <v>98</v>
      </c>
      <c r="C16" s="7" t="s">
        <v>98</v>
      </c>
      <c r="D16" s="7" t="s">
        <v>22</v>
      </c>
      <c r="E16" s="8">
        <f>SQRT(0^2 + 0^2 + 0^2 + 0^2)</f>
      </c>
      <c r="F16" s="8">
        <f>SQRT(1^2 + 1^2 + 1^2 + 1^2)</f>
      </c>
    </row>
    <row x14ac:dyDescent="0.25" r="17" customHeight="1" ht="17.25">
      <c r="A17" s="1"/>
      <c r="B17" s="7" t="s">
        <v>99</v>
      </c>
      <c r="C17" s="7" t="s">
        <v>99</v>
      </c>
      <c r="D17" s="7" t="s">
        <v>22</v>
      </c>
      <c r="E17" s="8">
        <f>SQRT(0^2 + 0^2 + 0^2 + 0^2 + 0^2 + 0^2)</f>
      </c>
      <c r="F17" s="10">
        <f>SQRT(1^2 + 1^2 + 1^2 + 1^2 + 0.5^2 + 1^2)</f>
      </c>
    </row>
    <row x14ac:dyDescent="0.25" r="18" customHeight="1" ht="17.25">
      <c r="A18" s="1"/>
      <c r="B18" s="7" t="s">
        <v>100</v>
      </c>
      <c r="C18" s="7" t="s">
        <v>100</v>
      </c>
      <c r="D18" s="7" t="s">
        <v>100</v>
      </c>
      <c r="E18" s="8">
        <f>0</f>
      </c>
      <c r="F18" s="8">
        <f>0</f>
      </c>
    </row>
    <row x14ac:dyDescent="0.25" r="19" customHeight="1" ht="17.25">
      <c r="A19" s="1"/>
      <c r="B19" s="7" t="s">
        <v>101</v>
      </c>
      <c r="C19" s="7" t="s">
        <v>101</v>
      </c>
      <c r="D19" s="7" t="s">
        <v>22</v>
      </c>
      <c r="E19" s="8">
        <f>SQRT(0^2 + 0^2 + 0^2 + 0^2)</f>
      </c>
      <c r="F19" s="8">
        <f>SQRT(1^2 + 1^2 + 1^2 + 1^2)</f>
      </c>
    </row>
    <row x14ac:dyDescent="0.25" r="20" customHeight="1" ht="17.25">
      <c r="A20" s="1"/>
      <c r="B20" s="7" t="s">
        <v>102</v>
      </c>
      <c r="C20" s="7" t="s">
        <v>102</v>
      </c>
      <c r="D20" s="7" t="s">
        <v>103</v>
      </c>
      <c r="E20" s="8">
        <f>SQRT(0^2 + 0^2 + 0^2 + 0^2)</f>
      </c>
      <c r="F20" s="10">
        <f>SQRT(0^2 + 0^2 + 1^2 + 1^2)</f>
      </c>
    </row>
    <row x14ac:dyDescent="0.25" r="21" customHeight="1" ht="17.25">
      <c r="A21" s="1"/>
      <c r="B21" s="7" t="s">
        <v>104</v>
      </c>
      <c r="C21" s="7" t="s">
        <v>104</v>
      </c>
      <c r="D21" s="7" t="s">
        <v>105</v>
      </c>
      <c r="E21" s="8">
        <f>SQRT(0^2 + 0^2 + 0^2 + 0^2)</f>
      </c>
      <c r="F21" s="10">
        <f>SQRT(0^2 + 0^2 + 1^2 + 1^2)</f>
      </c>
    </row>
    <row x14ac:dyDescent="0.25" r="22" customHeight="1" ht="17.25">
      <c r="A22" s="1"/>
      <c r="B22" s="7" t="s">
        <v>106</v>
      </c>
      <c r="C22" s="7" t="s">
        <v>106</v>
      </c>
      <c r="D22" s="7" t="s">
        <v>106</v>
      </c>
      <c r="E22" s="8">
        <f>0</f>
      </c>
      <c r="F22" s="8">
        <f>0</f>
      </c>
    </row>
    <row x14ac:dyDescent="0.25" r="23" customHeight="1" ht="17.25">
      <c r="A23" s="1"/>
      <c r="B23" s="7" t="s">
        <v>107</v>
      </c>
      <c r="C23" s="7" t="s">
        <v>107</v>
      </c>
      <c r="D23" s="7" t="s">
        <v>108</v>
      </c>
      <c r="E23" s="8">
        <f>SQRT(0^2 + 0^2 + 0^2 + 0^2)</f>
      </c>
      <c r="F23" s="8">
        <f>SQRT(0^2 + 0^2 + 1^2 + 0^2)</f>
      </c>
    </row>
    <row x14ac:dyDescent="0.25" r="24" customHeight="1" ht="17.25">
      <c r="A24" s="1"/>
      <c r="B24" s="7" t="s">
        <v>109</v>
      </c>
      <c r="C24" s="7" t="s">
        <v>109</v>
      </c>
      <c r="D24" s="7" t="s">
        <v>22</v>
      </c>
      <c r="E24" s="8">
        <f>SQRT(0^2 + 0^2 + 0^2 + 0^2)</f>
      </c>
      <c r="F24" s="8">
        <f>SQRT(1^2 + 1^2 + 1^2 + 1^2)</f>
      </c>
    </row>
    <row x14ac:dyDescent="0.25" r="25" customHeight="1" ht="17.25">
      <c r="A25" s="1"/>
      <c r="B25" s="7" t="s">
        <v>110</v>
      </c>
      <c r="C25" s="7" t="s">
        <v>110</v>
      </c>
      <c r="D25" s="7" t="s">
        <v>110</v>
      </c>
      <c r="E25" s="8">
        <f>0</f>
      </c>
      <c r="F25" s="8">
        <f>0</f>
      </c>
    </row>
    <row x14ac:dyDescent="0.25" r="26" customHeight="1" ht="17.25">
      <c r="A26" s="1"/>
      <c r="B26" s="7" t="s">
        <v>111</v>
      </c>
      <c r="C26" s="7" t="s">
        <v>111</v>
      </c>
      <c r="D26" s="7" t="s">
        <v>22</v>
      </c>
      <c r="E26" s="8">
        <f>SQRT(0^2 + 0^2 + 0^2 + 0^2)</f>
      </c>
      <c r="F26" s="8">
        <f>SQRT(1^2 + 1^2 + 1^2 + 1^2)</f>
      </c>
    </row>
    <row x14ac:dyDescent="0.25" r="27" customHeight="1" ht="17.25">
      <c r="A27" s="1"/>
      <c r="B27" s="7" t="s">
        <v>112</v>
      </c>
      <c r="C27" s="7" t="s">
        <v>112</v>
      </c>
      <c r="D27" s="7" t="s">
        <v>113</v>
      </c>
      <c r="E27" s="8">
        <f>SQRT(0^2 + 0^2 + 0^2 + 0^2)</f>
      </c>
      <c r="F27" s="10">
        <f>SQRT(0^2 + 0^2 + 1^2 + 1^2)</f>
      </c>
    </row>
    <row x14ac:dyDescent="0.25" r="28" customHeight="1" ht="17.25">
      <c r="A28" s="1"/>
      <c r="B28" s="7" t="s">
        <v>114</v>
      </c>
      <c r="C28" s="7" t="s">
        <v>114</v>
      </c>
      <c r="D28" s="7" t="s">
        <v>115</v>
      </c>
      <c r="E28" s="8">
        <f>SQRT(0^2 + 0^2 + 0^2 + 0^2)</f>
      </c>
      <c r="F28" s="10">
        <f>SQRT(0^2 + 0^2 + 1^2 + 1^2)</f>
      </c>
    </row>
    <row x14ac:dyDescent="0.25" r="29" customHeight="1" ht="17.25">
      <c r="A29" s="1"/>
      <c r="B29" s="7" t="s">
        <v>116</v>
      </c>
      <c r="C29" s="7" t="s">
        <v>116</v>
      </c>
      <c r="D29" s="7" t="s">
        <v>22</v>
      </c>
      <c r="E29" s="8">
        <f>0</f>
      </c>
      <c r="F29" s="8">
        <f>1</f>
      </c>
    </row>
    <row x14ac:dyDescent="0.25" r="30" customHeight="1" ht="17.25">
      <c r="A30" s="1"/>
      <c r="B30" s="7" t="s">
        <v>117</v>
      </c>
      <c r="C30" s="7" t="s">
        <v>117</v>
      </c>
      <c r="D30" s="7" t="s">
        <v>22</v>
      </c>
      <c r="E30" s="8">
        <f>0</f>
      </c>
      <c r="F30" s="8">
        <f>1</f>
      </c>
    </row>
    <row x14ac:dyDescent="0.25" r="31" customHeight="1" ht="17.25">
      <c r="A31" s="1"/>
      <c r="B31" s="7" t="s">
        <v>118</v>
      </c>
      <c r="C31" s="7" t="s">
        <v>118</v>
      </c>
      <c r="D31" s="7" t="s">
        <v>22</v>
      </c>
      <c r="E31" s="8">
        <f>0</f>
      </c>
      <c r="F31" s="8">
        <f>1</f>
      </c>
    </row>
    <row x14ac:dyDescent="0.25" r="32" customHeight="1" ht="17.25">
      <c r="A32" s="1"/>
      <c r="B32" s="7" t="s">
        <v>22</v>
      </c>
      <c r="C32" s="7" t="s">
        <v>22</v>
      </c>
      <c r="D32" s="7" t="s">
        <v>119</v>
      </c>
      <c r="E32" s="8">
        <f>0</f>
      </c>
      <c r="F32" s="8">
        <f>1</f>
      </c>
    </row>
    <row x14ac:dyDescent="0.25" r="33" customHeight="1" ht="17.25">
      <c r="A33" s="1"/>
      <c r="B33" s="7" t="s">
        <v>120</v>
      </c>
      <c r="C33" s="7" t="s">
        <v>120</v>
      </c>
      <c r="D33" s="7" t="s">
        <v>22</v>
      </c>
      <c r="E33" s="8">
        <f>SQRT(0^2 + 0^2 + 0^2 + 0^2)</f>
      </c>
      <c r="F33" s="8">
        <f>SQRT(1^2 + 1^2 + 1^2 + 1^2)</f>
      </c>
    </row>
    <row x14ac:dyDescent="0.25" r="34" customHeight="1" ht="17.25">
      <c r="A34" s="1"/>
      <c r="B34" s="7" t="s">
        <v>121</v>
      </c>
      <c r="C34" s="7" t="s">
        <v>121</v>
      </c>
      <c r="D34" s="7" t="s">
        <v>22</v>
      </c>
      <c r="E34" s="8">
        <f>SQRT(0^2 + 0^2 + 0^2 + 0^2)</f>
      </c>
      <c r="F34" s="8">
        <f>SQRT(1^2 + 1^2 + 1^2 + 1^2)</f>
      </c>
    </row>
    <row x14ac:dyDescent="0.25" r="35" customHeight="1" ht="17.25">
      <c r="A35" s="1"/>
      <c r="B35" s="7" t="s">
        <v>122</v>
      </c>
      <c r="C35" s="7" t="s">
        <v>122</v>
      </c>
      <c r="D35" s="7" t="s">
        <v>123</v>
      </c>
      <c r="E35" s="8">
        <f>SQRT(0^2 + 0^2 + 0^2 + 0^2)</f>
      </c>
      <c r="F35" s="8">
        <f>SQRT(0^2 + 0^2 + 1^2 + 0^2)</f>
      </c>
    </row>
    <row x14ac:dyDescent="0.25" r="36" customHeight="1" ht="17.25">
      <c r="A36" s="1"/>
      <c r="B36" s="7" t="s">
        <v>124</v>
      </c>
      <c r="C36" s="7" t="s">
        <v>124</v>
      </c>
      <c r="D36" s="7" t="s">
        <v>125</v>
      </c>
      <c r="E36" s="8">
        <f>SQRT(0^2 + 0^2 + 0^2 + 0^2)</f>
      </c>
      <c r="F36" s="8">
        <f>SQRT(0^2 + 0^2 + 1^2 + 0^2)</f>
      </c>
    </row>
    <row x14ac:dyDescent="0.25" r="37" customHeight="1" ht="17.25">
      <c r="A37" s="1"/>
      <c r="B37" s="7" t="s">
        <v>126</v>
      </c>
      <c r="C37" s="7" t="s">
        <v>126</v>
      </c>
      <c r="D37" s="7" t="s">
        <v>127</v>
      </c>
      <c r="E37" s="8">
        <f>SQRT(0^2 + 0^2 + 0^2 + 0^2)</f>
      </c>
      <c r="F37" s="8">
        <f>SQRT(0^2 + 0^2 + 1^2 + 0^2)</f>
      </c>
    </row>
    <row x14ac:dyDescent="0.25" r="38" customHeight="1" ht="17.25">
      <c r="A38" s="1"/>
      <c r="B38" s="7" t="s">
        <v>128</v>
      </c>
      <c r="C38" s="7" t="s">
        <v>128</v>
      </c>
      <c r="D38" s="7" t="s">
        <v>22</v>
      </c>
      <c r="E38" s="8">
        <f>SQRT(0^2 + 0^2 + 0^2 + 0^2)</f>
      </c>
      <c r="F38" s="8">
        <f>SQRT(1^2 + 1^2 + 1^2 + 1^2)</f>
      </c>
    </row>
    <row x14ac:dyDescent="0.25" r="39" customHeight="1" ht="17.25">
      <c r="A39" s="1"/>
      <c r="B39" s="7" t="s">
        <v>129</v>
      </c>
      <c r="C39" s="7" t="s">
        <v>129</v>
      </c>
      <c r="D39" s="7" t="s">
        <v>22</v>
      </c>
      <c r="E39" s="8">
        <f>SQRT(0^2 + 0^2 + 0^2 + 0^2)</f>
      </c>
      <c r="F39" s="8">
        <f>SQRT(1^2 + 1^2 + 1^2 + 1^2)</f>
      </c>
    </row>
    <row x14ac:dyDescent="0.25" r="40" customHeight="1" ht="17.25">
      <c r="A40" s="1"/>
      <c r="B40" s="7" t="s">
        <v>130</v>
      </c>
      <c r="C40" s="7" t="s">
        <v>130</v>
      </c>
      <c r="D40" s="7" t="s">
        <v>22</v>
      </c>
      <c r="E40" s="8">
        <f>SQRT(0^2 + 0^2 + 0^2 + 0^2)</f>
      </c>
      <c r="F40" s="8">
        <f>SQRT(1^2 + 1^2 + 1^2 + 1^2)</f>
      </c>
    </row>
    <row x14ac:dyDescent="0.25" r="41" customHeight="1" ht="17.25">
      <c r="A41" s="1"/>
      <c r="B41" s="7" t="s">
        <v>131</v>
      </c>
      <c r="C41" s="7" t="s">
        <v>131</v>
      </c>
      <c r="D41" s="7" t="s">
        <v>22</v>
      </c>
      <c r="E41" s="8">
        <f>SQRT(0^2 + 0^2 + 0^2 + 0^2)</f>
      </c>
      <c r="F41" s="8">
        <f>SQRT(1^2 + 1^2 + 1^2 + 1^2)</f>
      </c>
    </row>
    <row x14ac:dyDescent="0.25" r="42" customHeight="1" ht="17.25">
      <c r="A42" s="1"/>
      <c r="B42" s="7" t="s">
        <v>22</v>
      </c>
      <c r="C42" s="7" t="s">
        <v>132</v>
      </c>
      <c r="D42" s="7" t="s">
        <v>22</v>
      </c>
      <c r="E42" s="8">
        <f>SQRT(1^2 + 1^2 + 1^2 + 1^2)</f>
      </c>
      <c r="F42" s="8">
        <f>SQRT(0^2 + 0^2 + 0^2 + 0^2)</f>
      </c>
    </row>
    <row x14ac:dyDescent="0.25" r="43" customHeight="1" ht="17.25">
      <c r="A43" s="1"/>
      <c r="B43" s="7" t="s">
        <v>22</v>
      </c>
      <c r="C43" s="7" t="s">
        <v>133</v>
      </c>
      <c r="D43" s="7" t="s">
        <v>22</v>
      </c>
      <c r="E43" s="8">
        <f>SQRT(1^2 + 1^2 + 1^2 + 1^2)</f>
      </c>
      <c r="F43" s="8">
        <f>SQRT(0^2 + 0^2 + 0^2 + 0^2)</f>
      </c>
    </row>
    <row x14ac:dyDescent="0.25" r="44" customHeight="1" ht="17.25">
      <c r="A44" s="1"/>
      <c r="B44" s="7" t="s">
        <v>22</v>
      </c>
      <c r="C44" s="7" t="s">
        <v>134</v>
      </c>
      <c r="D44" s="7" t="s">
        <v>22</v>
      </c>
      <c r="E44" s="8">
        <f>SQRT(1^2 + 1^2 + 1^2 + 1^2)</f>
      </c>
      <c r="F44" s="8">
        <f>SQRT(0^2 + 0^2 + 0^2 + 0^2)</f>
      </c>
    </row>
    <row x14ac:dyDescent="0.25" r="45" customHeight="1" ht="17.25">
      <c r="A45" s="1"/>
      <c r="B45" s="7" t="s">
        <v>22</v>
      </c>
      <c r="C45" s="7" t="s">
        <v>22</v>
      </c>
      <c r="D45" s="7" t="s">
        <v>135</v>
      </c>
      <c r="E45" s="8">
        <f>SQRT(0^2 + 0^2 + 0^2 + 0^2)</f>
      </c>
      <c r="F45" s="8">
        <f>SQRT(1^2 + 1^2 + 1^2 + 1^2)</f>
      </c>
    </row>
    <row x14ac:dyDescent="0.25" r="46" customHeight="1" ht="17.25">
      <c r="A46" s="1"/>
      <c r="B46" s="7" t="s">
        <v>22</v>
      </c>
      <c r="C46" s="7" t="s">
        <v>22</v>
      </c>
      <c r="D46" s="7" t="s">
        <v>136</v>
      </c>
      <c r="E46" s="8">
        <f>SQRT(0^2 + 0^2 + 0^2 + 0^2)</f>
      </c>
      <c r="F46" s="8">
        <f>SQRT(1^2 + 1^2 + 1^2 + 1^2)</f>
      </c>
    </row>
    <row x14ac:dyDescent="0.25" r="47" customHeight="1" ht="17.25">
      <c r="A47" s="1"/>
      <c r="B47" s="1"/>
      <c r="C47" s="1"/>
      <c r="D47" s="19"/>
      <c r="E47" s="3"/>
      <c r="F47" s="3"/>
    </row>
    <row x14ac:dyDescent="0.25" r="48" customHeight="1" ht="17.25">
      <c r="A48" s="1"/>
      <c r="B48" s="1"/>
      <c r="C48" s="1"/>
      <c r="D48" s="19"/>
      <c r="E48" s="3"/>
      <c r="F48" s="3"/>
    </row>
    <row x14ac:dyDescent="0.25" r="49" customHeight="1" ht="17.25">
      <c r="A49" s="1"/>
      <c r="B49" s="1"/>
      <c r="C49" s="1"/>
      <c r="D49" s="7" t="s">
        <v>82</v>
      </c>
      <c r="E49" s="10">
        <f>SQRT(SUMSQ(E3:E46))</f>
      </c>
      <c r="F49" s="10">
        <f>SQRT(SUMSQ(F3:F46))</f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6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1" width="40.005" customWidth="1" bestFit="1"/>
    <col min="3" max="3" style="11" width="40.005" customWidth="1" bestFit="1"/>
    <col min="4" max="4" style="20" width="29.576428571428572" customWidth="1" bestFit="1"/>
    <col min="5" max="5" style="14" width="17.862142857142857" customWidth="1" bestFit="1"/>
    <col min="6" max="6" style="13" width="15.005" customWidth="1" bestFit="1"/>
  </cols>
  <sheetData>
    <row x14ac:dyDescent="0.25" r="1" customHeight="1" ht="17.25">
      <c r="A1" s="1"/>
      <c r="B1" s="1"/>
      <c r="C1" s="1"/>
      <c r="D1" s="19"/>
      <c r="E1" s="3"/>
      <c r="F1" s="3"/>
    </row>
    <row x14ac:dyDescent="0.25" r="2" customHeight="1" ht="17.25">
      <c r="A2" s="1"/>
      <c r="B2" s="7" t="s">
        <v>14</v>
      </c>
      <c r="C2" s="7" t="s">
        <v>10</v>
      </c>
      <c r="D2" s="7" t="s">
        <v>11</v>
      </c>
      <c r="E2" s="6" t="s">
        <v>15</v>
      </c>
      <c r="F2" s="4" t="s">
        <v>16</v>
      </c>
    </row>
    <row x14ac:dyDescent="0.25" r="3" customHeight="1" ht="17.25">
      <c r="A3" s="1"/>
      <c r="B3" s="7" t="s">
        <v>17</v>
      </c>
      <c r="C3" s="7" t="s">
        <v>17</v>
      </c>
      <c r="D3" s="7" t="s">
        <v>17</v>
      </c>
      <c r="E3" s="8">
        <f>0</f>
      </c>
      <c r="F3" s="8">
        <f>0</f>
      </c>
    </row>
    <row x14ac:dyDescent="0.25" r="4" customHeight="1" ht="17.25">
      <c r="A4" s="1"/>
      <c r="B4" s="7" t="s">
        <v>18</v>
      </c>
      <c r="C4" s="7" t="s">
        <v>19</v>
      </c>
      <c r="D4" s="7" t="s">
        <v>20</v>
      </c>
      <c r="E4" s="8">
        <f>SQRT(0^2 + 0^2 + 1^2 + 0^2)</f>
      </c>
      <c r="F4" s="8">
        <f>SQRT(0^2 + 0^2 + 1^2 + 0^2)</f>
      </c>
    </row>
    <row x14ac:dyDescent="0.25" r="5" customHeight="1" ht="17.25">
      <c r="A5" s="1"/>
      <c r="B5" s="7" t="s">
        <v>21</v>
      </c>
      <c r="C5" s="7" t="s">
        <v>22</v>
      </c>
      <c r="D5" s="7" t="s">
        <v>22</v>
      </c>
      <c r="E5" s="8">
        <f>SQRT(1^2 + 1^2 + 1^2 + 1^2)</f>
      </c>
      <c r="F5" s="8">
        <f>SQRT(1^2 + 1^2 + 1^2 + 1^2)</f>
      </c>
    </row>
    <row x14ac:dyDescent="0.25" r="6" customHeight="1" ht="17.25">
      <c r="A6" s="1"/>
      <c r="B6" s="7" t="s">
        <v>23</v>
      </c>
      <c r="C6" s="7" t="s">
        <v>23</v>
      </c>
      <c r="D6" s="7" t="s">
        <v>23</v>
      </c>
      <c r="E6" s="8">
        <f>SQRT(0^2 + 0^2 + 0^2 + 1^2)</f>
      </c>
      <c r="F6" s="8">
        <f>SQRT(0^2 + 0^2 + 0^2 + 0^2)</f>
      </c>
    </row>
    <row x14ac:dyDescent="0.25" r="7" customHeight="1" ht="17.25">
      <c r="A7" s="1"/>
      <c r="B7" s="7" t="s">
        <v>24</v>
      </c>
      <c r="C7" s="7" t="s">
        <v>24</v>
      </c>
      <c r="D7" s="7" t="s">
        <v>25</v>
      </c>
      <c r="E7" s="8">
        <f>0</f>
      </c>
      <c r="F7" s="8">
        <f>0</f>
      </c>
    </row>
    <row x14ac:dyDescent="0.25" r="8" customHeight="1" ht="17.25">
      <c r="A8" s="1"/>
      <c r="B8" s="7" t="s">
        <v>26</v>
      </c>
      <c r="C8" s="7" t="s">
        <v>26</v>
      </c>
      <c r="D8" s="7" t="s">
        <v>26</v>
      </c>
      <c r="E8" s="8">
        <f>0</f>
      </c>
      <c r="F8" s="8">
        <f>0</f>
      </c>
    </row>
    <row x14ac:dyDescent="0.25" r="9" customHeight="1" ht="17.25">
      <c r="A9" s="1"/>
      <c r="B9" s="7" t="s">
        <v>27</v>
      </c>
      <c r="C9" s="7" t="s">
        <v>22</v>
      </c>
      <c r="D9" s="7" t="s">
        <v>22</v>
      </c>
      <c r="E9" s="8">
        <f>SQRT(1^2 + 1^2 + 1^2 + 1^2)</f>
      </c>
      <c r="F9" s="8">
        <f>SQRT(1^2 + 1^2 + 1^2 + 1^2)</f>
      </c>
    </row>
    <row x14ac:dyDescent="0.25" r="10" customHeight="1" ht="17.25">
      <c r="A10" s="1"/>
      <c r="B10" s="7" t="s">
        <v>28</v>
      </c>
      <c r="C10" s="7" t="s">
        <v>28</v>
      </c>
      <c r="D10" s="7" t="s">
        <v>28</v>
      </c>
      <c r="E10" s="8">
        <f>0</f>
      </c>
      <c r="F10" s="8">
        <f>0</f>
      </c>
    </row>
    <row x14ac:dyDescent="0.25" r="11" customHeight="1" ht="17.25">
      <c r="A11" s="1"/>
      <c r="B11" s="7" t="s">
        <v>29</v>
      </c>
      <c r="C11" s="7" t="s">
        <v>29</v>
      </c>
      <c r="D11" s="7" t="s">
        <v>30</v>
      </c>
      <c r="E11" s="8">
        <f>SQRT(0^2 + 0^2 + 0^2 + 0^2)</f>
      </c>
      <c r="F11" s="8">
        <f>SQRT(0^2 + 0^2 + 0^2 + 0^2)</f>
      </c>
    </row>
    <row x14ac:dyDescent="0.25" r="12" customHeight="1" ht="17.25">
      <c r="A12" s="1"/>
      <c r="B12" s="7" t="s">
        <v>31</v>
      </c>
      <c r="C12" s="7" t="s">
        <v>31</v>
      </c>
      <c r="D12" s="7" t="s">
        <v>22</v>
      </c>
      <c r="E12" s="8">
        <f>SQRT(0^2 + 0^2 + 0^2 + 1^2)</f>
      </c>
      <c r="F12" s="8">
        <f>SQRT(1^2 + 1^2 + 1^2 + 1^2)</f>
      </c>
    </row>
    <row x14ac:dyDescent="0.25" r="13" customHeight="1" ht="17.25">
      <c r="A13" s="1"/>
      <c r="B13" s="7" t="s">
        <v>32</v>
      </c>
      <c r="C13" s="7" t="s">
        <v>32</v>
      </c>
      <c r="D13" s="7" t="s">
        <v>22</v>
      </c>
      <c r="E13" s="8">
        <f>SQRT(0^2 + 0^2 + 0^2 + 1^2)</f>
      </c>
      <c r="F13" s="8">
        <f>SQRT(1^2 + 1^2 + 1^2 + 1^2)</f>
      </c>
    </row>
    <row x14ac:dyDescent="0.25" r="14" customHeight="1" ht="17.25">
      <c r="A14" s="1"/>
      <c r="B14" s="7" t="s">
        <v>33</v>
      </c>
      <c r="C14" s="7" t="s">
        <v>33</v>
      </c>
      <c r="D14" s="7" t="s">
        <v>22</v>
      </c>
      <c r="E14" s="8">
        <f>SQRT(0^2 + 0^2 + 0^2 + 0^2)</f>
      </c>
      <c r="F14" s="8">
        <f>SQRT(1^2 + 1^2 + 1^2 + 1^2)</f>
      </c>
    </row>
    <row x14ac:dyDescent="0.25" r="15" customHeight="1" ht="17.25">
      <c r="A15" s="1"/>
      <c r="B15" s="7" t="s">
        <v>34</v>
      </c>
      <c r="C15" s="7" t="s">
        <v>34</v>
      </c>
      <c r="D15" s="7" t="s">
        <v>34</v>
      </c>
      <c r="E15" s="8">
        <f>0</f>
      </c>
      <c r="F15" s="8">
        <f>0</f>
      </c>
    </row>
    <row x14ac:dyDescent="0.25" r="16" customHeight="1" ht="17.25">
      <c r="A16" s="1"/>
      <c r="B16" s="7" t="s">
        <v>35</v>
      </c>
      <c r="C16" s="7" t="s">
        <v>35</v>
      </c>
      <c r="D16" s="7" t="s">
        <v>35</v>
      </c>
      <c r="E16" s="8">
        <f>SQRT(0^2 + 0^2 + 0^2 + 0^2)</f>
      </c>
      <c r="F16" s="8">
        <f>SQRT(0^2 + 0^2 + 0^2 + 0^2)</f>
      </c>
    </row>
    <row x14ac:dyDescent="0.25" r="17" customHeight="1" ht="17.25">
      <c r="A17" s="1"/>
      <c r="B17" s="7" t="s">
        <v>36</v>
      </c>
      <c r="C17" s="7" t="s">
        <v>22</v>
      </c>
      <c r="D17" s="7" t="s">
        <v>22</v>
      </c>
      <c r="E17" s="8">
        <f>SQRT(1^2 + 1^2 + 1^2 + 1^2)</f>
      </c>
      <c r="F17" s="8">
        <f>SQRT(1^2 + 1^2 + 1^2 + 1^2)</f>
      </c>
    </row>
    <row x14ac:dyDescent="0.25" r="18" customHeight="1" ht="17.25">
      <c r="A18" s="1"/>
      <c r="B18" s="7" t="s">
        <v>37</v>
      </c>
      <c r="C18" s="7" t="s">
        <v>22</v>
      </c>
      <c r="D18" s="7" t="s">
        <v>22</v>
      </c>
      <c r="E18" s="8">
        <f>SQRT(1^2 + 1^2 + 1^2 + 1^2)</f>
      </c>
      <c r="F18" s="8">
        <f>SQRT(1^2 + 1^2 + 1^2 + 1^2)</f>
      </c>
    </row>
    <row x14ac:dyDescent="0.25" r="19" customHeight="1" ht="17.25">
      <c r="A19" s="1"/>
      <c r="B19" s="7" t="s">
        <v>38</v>
      </c>
      <c r="C19" s="7" t="s">
        <v>22</v>
      </c>
      <c r="D19" s="7" t="s">
        <v>22</v>
      </c>
      <c r="E19" s="8">
        <f>SQRT(1^2 + 1^2 + 1^2 + 1^2)</f>
      </c>
      <c r="F19" s="8">
        <f>SQRT(1^2 + 1^2 + 1^2 + 1^2)</f>
      </c>
    </row>
    <row x14ac:dyDescent="0.25" r="20" customHeight="1" ht="17.25">
      <c r="A20" s="1"/>
      <c r="B20" s="7" t="s">
        <v>39</v>
      </c>
      <c r="C20" s="7" t="s">
        <v>22</v>
      </c>
      <c r="D20" s="7" t="s">
        <v>22</v>
      </c>
      <c r="E20" s="8">
        <f>SQRT(1^2 + 1^2 + 1^2 + 1^2)</f>
      </c>
      <c r="F20" s="8">
        <f>SQRT(1^2 + 1^2 + 1^2 + 1^2)</f>
      </c>
    </row>
    <row x14ac:dyDescent="0.25" r="21" customHeight="1" ht="17.25">
      <c r="A21" s="1"/>
      <c r="B21" s="7" t="s">
        <v>40</v>
      </c>
      <c r="C21" s="7" t="s">
        <v>40</v>
      </c>
      <c r="D21" s="7" t="s">
        <v>40</v>
      </c>
      <c r="E21" s="8">
        <f>0</f>
      </c>
      <c r="F21" s="8">
        <f>0</f>
      </c>
    </row>
    <row x14ac:dyDescent="0.25" r="22" customHeight="1" ht="18.75">
      <c r="A22" s="1"/>
      <c r="B22" s="7" t="s">
        <v>41</v>
      </c>
      <c r="C22" s="7" t="s">
        <v>41</v>
      </c>
      <c r="D22" s="7" t="s">
        <v>41</v>
      </c>
      <c r="E22" s="8">
        <f>SQRT(0^2 + 0^2 + 0^2 + 0^2)</f>
      </c>
      <c r="F22" s="8">
        <f>SQRT(0^2 + 0^2 + 0^2 + 0^2)</f>
      </c>
    </row>
    <row x14ac:dyDescent="0.25" r="23" customHeight="1" ht="18.75">
      <c r="A23" s="1"/>
      <c r="B23" s="7" t="s">
        <v>42</v>
      </c>
      <c r="C23" s="7" t="s">
        <v>22</v>
      </c>
      <c r="D23" s="7" t="s">
        <v>22</v>
      </c>
      <c r="E23" s="8">
        <f>SQRT(1^2 + 1^2 + 1^2 + 1^2)</f>
      </c>
      <c r="F23" s="8">
        <f>SQRT(1^2 + 1^2 + 1^2 + 1^2)</f>
      </c>
    </row>
    <row x14ac:dyDescent="0.25" r="24" customHeight="1" ht="18.75">
      <c r="A24" s="1"/>
      <c r="B24" s="7" t="s">
        <v>43</v>
      </c>
      <c r="C24" s="7" t="s">
        <v>44</v>
      </c>
      <c r="D24" s="7" t="s">
        <v>22</v>
      </c>
      <c r="E24" s="8">
        <f>SQRT(0^2 + 0^2 + 1^2 + 0^2)</f>
      </c>
      <c r="F24" s="8">
        <f>SQRT(1^2 + 1^2 + 1^2 + 1^2)</f>
      </c>
    </row>
    <row x14ac:dyDescent="0.25" r="25" customHeight="1" ht="18.75">
      <c r="A25" s="1"/>
      <c r="B25" s="7" t="s">
        <v>45</v>
      </c>
      <c r="C25" s="7" t="s">
        <v>22</v>
      </c>
      <c r="D25" s="7" t="s">
        <v>22</v>
      </c>
      <c r="E25" s="8">
        <f>SQRT(1^2 + 1^2 + 1^2 + 1^2)</f>
      </c>
      <c r="F25" s="8">
        <f>SQRT(1^2 + 1^2 + 1^2 + 1^2)</f>
      </c>
    </row>
    <row x14ac:dyDescent="0.25" r="26" customHeight="1" ht="18.75">
      <c r="A26" s="1"/>
      <c r="B26" s="7" t="s">
        <v>46</v>
      </c>
      <c r="C26" s="7" t="s">
        <v>46</v>
      </c>
      <c r="D26" s="7" t="s">
        <v>46</v>
      </c>
      <c r="E26" s="8">
        <f>0</f>
      </c>
      <c r="F26" s="8">
        <f>0</f>
      </c>
    </row>
    <row x14ac:dyDescent="0.25" r="27" customHeight="1" ht="18.75">
      <c r="A27" s="1"/>
      <c r="B27" s="7" t="s">
        <v>47</v>
      </c>
      <c r="C27" s="7" t="s">
        <v>48</v>
      </c>
      <c r="D27" s="7" t="s">
        <v>49</v>
      </c>
      <c r="E27" s="8">
        <f>SQRT(0^2 + 0^2 + 1^2 + 0^2)</f>
      </c>
      <c r="F27" s="8">
        <f>SQRT(0^2 + 0^2 + 1^2 + 0^2)</f>
      </c>
    </row>
    <row x14ac:dyDescent="0.25" r="28" customHeight="1" ht="18.75">
      <c r="A28" s="1"/>
      <c r="B28" s="7" t="s">
        <v>50</v>
      </c>
      <c r="C28" s="7" t="s">
        <v>22</v>
      </c>
      <c r="D28" s="7" t="s">
        <v>22</v>
      </c>
      <c r="E28" s="8">
        <f>SQRT(1^2 + 1^2 + 1^2 + 1^2)</f>
      </c>
      <c r="F28" s="8">
        <f>SQRT(1^2 + 1^2 + 1^2 + 1^2)</f>
      </c>
    </row>
    <row x14ac:dyDescent="0.25" r="29" customHeight="1" ht="18.75">
      <c r="A29" s="1"/>
      <c r="B29" s="7" t="s">
        <v>51</v>
      </c>
      <c r="C29" s="7" t="s">
        <v>22</v>
      </c>
      <c r="D29" s="7" t="s">
        <v>22</v>
      </c>
      <c r="E29" s="8">
        <f>SQRT(1^2 + 1^2 + 1^2 + 1^2)</f>
      </c>
      <c r="F29" s="8">
        <f>SQRT(1^2 + 1^2 + 1^2 + 1^2)</f>
      </c>
    </row>
    <row x14ac:dyDescent="0.25" r="30" customHeight="1" ht="18.75">
      <c r="A30" s="1"/>
      <c r="B30" s="7" t="s">
        <v>52</v>
      </c>
      <c r="C30" s="7" t="s">
        <v>22</v>
      </c>
      <c r="D30" s="7" t="s">
        <v>22</v>
      </c>
      <c r="E30" s="8">
        <f>SQRT(1^2 + 1^2 + 1^2 + 1^2)</f>
      </c>
      <c r="F30" s="8">
        <f>SQRT(1^2 + 1^2 + 1^2 + 1^2)</f>
      </c>
    </row>
    <row x14ac:dyDescent="0.25" r="31" customHeight="1" ht="18.75">
      <c r="A31" s="1"/>
      <c r="B31" s="7" t="s">
        <v>53</v>
      </c>
      <c r="C31" s="7" t="s">
        <v>53</v>
      </c>
      <c r="D31" s="7" t="s">
        <v>54</v>
      </c>
      <c r="E31" s="8">
        <f>SQRT(0^2 + 0^2 + 1^2 + 0^2)</f>
      </c>
      <c r="F31" s="8">
        <f>SQRT(0^2 + 0^2 + 0^2 + 0^2)</f>
      </c>
    </row>
    <row x14ac:dyDescent="0.25" r="32" customHeight="1" ht="18.75">
      <c r="A32" s="1"/>
      <c r="B32" s="7" t="s">
        <v>55</v>
      </c>
      <c r="C32" s="7" t="s">
        <v>22</v>
      </c>
      <c r="D32" s="7" t="s">
        <v>22</v>
      </c>
      <c r="E32" s="8">
        <f>SQRT(1^2 + 1^2 + 1^2 + 1^2)</f>
      </c>
      <c r="F32" s="8">
        <f>SQRT(1^2 + 1^2 + 1^2 + 1^2)</f>
      </c>
    </row>
    <row x14ac:dyDescent="0.25" r="33" customHeight="1" ht="18.75">
      <c r="A33" s="1"/>
      <c r="B33" s="7" t="s">
        <v>56</v>
      </c>
      <c r="C33" s="7" t="s">
        <v>56</v>
      </c>
      <c r="D33" s="7" t="s">
        <v>56</v>
      </c>
      <c r="E33" s="8">
        <f>0</f>
      </c>
      <c r="F33" s="8">
        <f>0</f>
      </c>
    </row>
    <row x14ac:dyDescent="0.25" r="34" customHeight="1" ht="18.75">
      <c r="A34" s="1"/>
      <c r="B34" s="7" t="s">
        <v>57</v>
      </c>
      <c r="C34" s="7" t="s">
        <v>57</v>
      </c>
      <c r="D34" s="7" t="s">
        <v>57</v>
      </c>
      <c r="E34" s="8">
        <f>SQRT(0^2 + 0^2 + 0^2 + 0^2)</f>
      </c>
      <c r="F34" s="8">
        <f>SQRT(0^2 + 0^2 + 0^2 + 0^2)</f>
      </c>
    </row>
    <row x14ac:dyDescent="0.25" r="35" customHeight="1" ht="18.75">
      <c r="A35" s="1"/>
      <c r="B35" s="7" t="s">
        <v>58</v>
      </c>
      <c r="C35" s="7" t="s">
        <v>58</v>
      </c>
      <c r="D35" s="7" t="s">
        <v>22</v>
      </c>
      <c r="E35" s="8">
        <f>SQRT(0^2 + 0^2 + 0^2 + 0^2)</f>
      </c>
      <c r="F35" s="8">
        <f>SQRT(1^2 + 1^2 + 1^2 + 1^2)</f>
      </c>
    </row>
    <row x14ac:dyDescent="0.25" r="36" customHeight="1" ht="17.25">
      <c r="A36" s="1"/>
      <c r="B36" s="7" t="s">
        <v>59</v>
      </c>
      <c r="C36" s="7" t="s">
        <v>59</v>
      </c>
      <c r="D36" s="7" t="s">
        <v>59</v>
      </c>
      <c r="E36" s="8">
        <f>0</f>
      </c>
      <c r="F36" s="8">
        <f>0</f>
      </c>
    </row>
    <row x14ac:dyDescent="0.25" r="37" customHeight="1" ht="17.25">
      <c r="A37" s="1"/>
      <c r="B37" s="7" t="s">
        <v>60</v>
      </c>
      <c r="C37" s="7" t="s">
        <v>60</v>
      </c>
      <c r="D37" s="7" t="s">
        <v>61</v>
      </c>
      <c r="E37" s="8">
        <f>SQRT(0^2 + 0^2 + 0^2 + 0^2)</f>
      </c>
      <c r="F37" s="8">
        <v>0</v>
      </c>
    </row>
    <row x14ac:dyDescent="0.25" r="38" customHeight="1" ht="17.25">
      <c r="A38" s="1"/>
      <c r="B38" s="7" t="s">
        <v>62</v>
      </c>
      <c r="C38" s="7" t="s">
        <v>62</v>
      </c>
      <c r="D38" s="7" t="s">
        <v>22</v>
      </c>
      <c r="E38" s="8">
        <f>SQRT(0^2 + 0^2 + 0^2 + 0^2)</f>
      </c>
      <c r="F38" s="8">
        <f>SQRT(1^2 + 1^2 + 1^2 + 1^2)</f>
      </c>
    </row>
    <row x14ac:dyDescent="0.25" r="39" customHeight="1" ht="17.25">
      <c r="A39" s="1"/>
      <c r="B39" s="7" t="s">
        <v>63</v>
      </c>
      <c r="C39" s="7" t="s">
        <v>22</v>
      </c>
      <c r="D39" s="7" t="s">
        <v>22</v>
      </c>
      <c r="E39" s="8">
        <f>SQRT(1^2 + 1^2 + 1^2 + 1^2)</f>
      </c>
      <c r="F39" s="8">
        <f>SQRT(1^2 + 1^2 + 1^2 + 1^2)</f>
      </c>
    </row>
    <row x14ac:dyDescent="0.25" r="40" customHeight="1" ht="17.25">
      <c r="A40" s="1"/>
      <c r="B40" s="7" t="s">
        <v>64</v>
      </c>
      <c r="C40" s="7" t="s">
        <v>64</v>
      </c>
      <c r="D40" s="7" t="s">
        <v>64</v>
      </c>
      <c r="E40" s="8">
        <f>0</f>
      </c>
      <c r="F40" s="8">
        <f>0</f>
      </c>
    </row>
    <row x14ac:dyDescent="0.25" r="41" customHeight="1" ht="17.25">
      <c r="A41" s="1"/>
      <c r="B41" s="7" t="s">
        <v>65</v>
      </c>
      <c r="C41" s="7" t="s">
        <v>65</v>
      </c>
      <c r="D41" s="7" t="s">
        <v>66</v>
      </c>
      <c r="E41" s="8">
        <f>SQRT(0^2 + 0^2 + 0^2 + 0^2)</f>
      </c>
      <c r="F41" s="10">
        <f>SQRT(0^2 + 0^2 + 1^2 + 1^2)</f>
      </c>
    </row>
    <row x14ac:dyDescent="0.25" r="42" customHeight="1" ht="17.25">
      <c r="A42" s="1"/>
      <c r="B42" s="7" t="s">
        <v>67</v>
      </c>
      <c r="C42" s="7" t="s">
        <v>67</v>
      </c>
      <c r="D42" s="7" t="s">
        <v>22</v>
      </c>
      <c r="E42" s="8">
        <f>SQRT(0^2 + 0^2 + 0^2 + 0^2)</f>
      </c>
      <c r="F42" s="8">
        <f>SQRT(1^2 + 1^2 + 1^2 + 1^2)</f>
      </c>
    </row>
    <row x14ac:dyDescent="0.25" r="43" customHeight="1" ht="17.25">
      <c r="A43" s="1"/>
      <c r="B43" s="7" t="s">
        <v>68</v>
      </c>
      <c r="C43" s="7" t="s">
        <v>68</v>
      </c>
      <c r="D43" s="7" t="s">
        <v>69</v>
      </c>
      <c r="E43" s="8">
        <f>SQRT(0^2 + 0^2 + 0^2 + 0^2)</f>
      </c>
      <c r="F43" s="8">
        <f>SQRT(0^2 + 0^2 + 1^2 + 0^2)</f>
      </c>
    </row>
    <row x14ac:dyDescent="0.25" r="44" customHeight="1" ht="17.25">
      <c r="A44" s="1"/>
      <c r="B44" s="7" t="s">
        <v>70</v>
      </c>
      <c r="C44" s="7" t="s">
        <v>70</v>
      </c>
      <c r="D44" s="7" t="s">
        <v>71</v>
      </c>
      <c r="E44" s="8">
        <f>SQRT(0^2 + 0^2 + 0^2 + 0^2)</f>
      </c>
      <c r="F44" s="8">
        <f>SQRT(0^2 + 0^2 + 1^2 + 0^2)</f>
      </c>
    </row>
    <row x14ac:dyDescent="0.25" r="45" customHeight="1" ht="17.25">
      <c r="A45" s="1"/>
      <c r="B45" s="7" t="s">
        <v>72</v>
      </c>
      <c r="C45" s="7" t="s">
        <v>72</v>
      </c>
      <c r="D45" s="7" t="s">
        <v>73</v>
      </c>
      <c r="E45" s="8">
        <f>SQRT(0^2 + 0^2 + 0^2 + 0^2)</f>
      </c>
      <c r="F45" s="8">
        <f>SQRT(0^2 + 0^2 + 1^2 + 0^2)</f>
      </c>
    </row>
    <row x14ac:dyDescent="0.25" r="46" customHeight="1" ht="17.25">
      <c r="A46" s="1"/>
      <c r="B46" s="7" t="s">
        <v>74</v>
      </c>
      <c r="C46" s="7" t="s">
        <v>74</v>
      </c>
      <c r="D46" s="7" t="s">
        <v>74</v>
      </c>
      <c r="E46" s="8">
        <f>SQRT(0^2 + 0^2 + 0^2 + 0^2)</f>
      </c>
      <c r="F46" s="8">
        <f>SQRT(0^2 + 0^2 + 0^2 + 0^2)</f>
      </c>
    </row>
    <row x14ac:dyDescent="0.25" r="47" customHeight="1" ht="17.25">
      <c r="A47" s="1"/>
      <c r="B47" s="7" t="s">
        <v>22</v>
      </c>
      <c r="C47" s="7" t="s">
        <v>22</v>
      </c>
      <c r="D47" s="7" t="s">
        <v>75</v>
      </c>
      <c r="E47" s="8">
        <f>SQRT(0^2 + 0^2 + 0^2 + 0^2)</f>
      </c>
      <c r="F47" s="8">
        <f>SQRT(1^2 + 1^2 + 1^2 + 1^2)</f>
      </c>
    </row>
    <row x14ac:dyDescent="0.25" r="48" customHeight="1" ht="17.25">
      <c r="A48" s="1"/>
      <c r="B48" s="7" t="s">
        <v>76</v>
      </c>
      <c r="C48" s="7" t="s">
        <v>76</v>
      </c>
      <c r="D48" s="7" t="s">
        <v>22</v>
      </c>
      <c r="E48" s="8">
        <f>SQRT(0^2 + 0^2 + 0^2 + 0^2)</f>
      </c>
      <c r="F48" s="8">
        <f>SQRT(1^2 + 1^2 + 1^2 + 1^2)</f>
      </c>
    </row>
    <row x14ac:dyDescent="0.25" r="49" customHeight="1" ht="17.25">
      <c r="A49" s="1"/>
      <c r="B49" s="7" t="s">
        <v>77</v>
      </c>
      <c r="C49" s="7" t="s">
        <v>77</v>
      </c>
      <c r="D49" s="7" t="s">
        <v>77</v>
      </c>
      <c r="E49" s="8">
        <f>SQRT(0^2 + 0^2 + 0^2 + 0^2)</f>
      </c>
      <c r="F49" s="8">
        <f>SQRT(0^2 + 0^2 + 0^2 + 1^2)</f>
      </c>
    </row>
    <row x14ac:dyDescent="0.25" r="50" customHeight="1" ht="17.25">
      <c r="A50" s="1"/>
      <c r="B50" s="7" t="s">
        <v>78</v>
      </c>
      <c r="C50" s="7" t="s">
        <v>78</v>
      </c>
      <c r="D50" s="7" t="s">
        <v>78</v>
      </c>
      <c r="E50" s="8">
        <f>SQRT(0^2 + 0^2 + 0^2 + 0^2)</f>
      </c>
      <c r="F50" s="8">
        <f>SQRT(0^2 + 0^2 + 0^2 + 1^2)</f>
      </c>
    </row>
    <row x14ac:dyDescent="0.25" r="51" customHeight="1" ht="17.25">
      <c r="A51" s="1"/>
      <c r="B51" s="7" t="s">
        <v>79</v>
      </c>
      <c r="C51" s="7" t="s">
        <v>79</v>
      </c>
      <c r="D51" s="7" t="s">
        <v>79</v>
      </c>
      <c r="E51" s="8">
        <f>SQRT(0^2 + 0^2 + 0^2 + 0^2)</f>
      </c>
      <c r="F51" s="8">
        <f>SQRT(0^2 + 0^2 + 0^2 + 1^2)</f>
      </c>
    </row>
    <row x14ac:dyDescent="0.25" r="52" customHeight="1" ht="17.25">
      <c r="A52" s="1"/>
      <c r="B52" s="7" t="s">
        <v>22</v>
      </c>
      <c r="C52" s="7" t="s">
        <v>80</v>
      </c>
      <c r="D52" s="7" t="s">
        <v>22</v>
      </c>
      <c r="E52" s="8">
        <f>SQRT(1^2 + 1^2 + 1^2 + 1^2)</f>
      </c>
      <c r="F52" s="8">
        <f>SQRT(0^2 + 0^2 + 0^2 + 0^2)</f>
      </c>
    </row>
    <row x14ac:dyDescent="0.25" r="53" customHeight="1" ht="17.25">
      <c r="A53" s="1"/>
      <c r="B53" s="7" t="s">
        <v>22</v>
      </c>
      <c r="C53" s="7" t="s">
        <v>81</v>
      </c>
      <c r="D53" s="7" t="s">
        <v>22</v>
      </c>
      <c r="E53" s="8">
        <f>SQRT(1^2 + 1^2 + 1^2 + 1^2)</f>
      </c>
      <c r="F53" s="8">
        <f>SQRT(0^2 + 0^2 + 0^2 + 0^2)</f>
      </c>
    </row>
    <row x14ac:dyDescent="0.25" r="54" customHeight="1" ht="17.25">
      <c r="A54" s="1"/>
      <c r="B54" s="1"/>
      <c r="C54" s="1"/>
      <c r="D54" s="19"/>
      <c r="E54" s="3"/>
      <c r="F54" s="3"/>
    </row>
    <row x14ac:dyDescent="0.25" r="55" customHeight="1" ht="17.25">
      <c r="A55" s="1"/>
      <c r="B55" s="1"/>
      <c r="C55" s="1"/>
      <c r="D55" s="19"/>
      <c r="E55" s="3"/>
      <c r="F55" s="3"/>
    </row>
    <row x14ac:dyDescent="0.25" r="56" customHeight="1" ht="17.25">
      <c r="A56" s="1"/>
      <c r="B56" s="1"/>
      <c r="C56" s="1"/>
      <c r="D56" s="7" t="s">
        <v>82</v>
      </c>
      <c r="E56" s="10">
        <f>SQRT(SUMSQ(E3:E53))</f>
      </c>
      <c r="F56" s="10">
        <f>SQRT(SUMSQ(F3:F53))</f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4" width="12.43357142857143" customWidth="1" bestFit="1"/>
    <col min="4" max="4" style="14" width="12.43357142857143" customWidth="1" bestFit="1"/>
    <col min="5" max="5" style="14" width="12.43357142857143" customWidth="1" bestFit="1"/>
  </cols>
  <sheetData>
    <row x14ac:dyDescent="0.25" r="1" customHeight="1" ht="17.25">
      <c r="A1" s="1"/>
      <c r="B1" s="2"/>
      <c r="C1" s="3"/>
      <c r="D1" s="3"/>
      <c r="E1" s="3"/>
    </row>
    <row x14ac:dyDescent="0.25" r="2" customHeight="1" ht="17.25">
      <c r="A2" s="1"/>
      <c r="B2" s="15"/>
      <c r="C2" s="16" t="s">
        <v>10</v>
      </c>
      <c r="D2" s="16" t="s">
        <v>11</v>
      </c>
      <c r="E2" s="16" t="s">
        <v>12</v>
      </c>
    </row>
    <row x14ac:dyDescent="0.25" r="3" customHeight="1" ht="17.25">
      <c r="A3" s="1"/>
      <c r="B3" s="17">
        <v>1</v>
      </c>
      <c r="C3" s="18">
        <f>'Part 2 - 1'!E42</f>
      </c>
      <c r="D3" s="18">
        <f>'Part 2 - 1'!F42</f>
      </c>
      <c r="E3" s="18">
        <f>D3-C3</f>
      </c>
    </row>
    <row x14ac:dyDescent="0.25" r="4" customHeight="1" ht="17.25">
      <c r="A4" s="1"/>
      <c r="B4" s="17">
        <v>2</v>
      </c>
      <c r="C4" s="18">
        <f>'Part 2 - 2'!E31</f>
      </c>
      <c r="D4" s="18">
        <f>'Part 2 - 2'!F31</f>
      </c>
      <c r="E4" s="18">
        <f>D4-C4</f>
      </c>
    </row>
    <row x14ac:dyDescent="0.25" r="5" customHeight="1" ht="17.25">
      <c r="A5" s="1"/>
      <c r="B5" s="17">
        <v>3</v>
      </c>
      <c r="C5" s="18">
        <f>'Part 2 - 3'!E60</f>
      </c>
      <c r="D5" s="18">
        <f>'Part 2 - 3'!F60</f>
      </c>
      <c r="E5" s="18">
        <f>D5-C5</f>
      </c>
    </row>
    <row x14ac:dyDescent="0.25" r="6" customHeight="1" ht="17.25">
      <c r="A6" s="1"/>
      <c r="B6" s="17">
        <v>4</v>
      </c>
      <c r="C6" s="18">
        <f>'Part 2 - 4'!E60</f>
      </c>
      <c r="D6" s="18">
        <f>'Part 2 - 4'!F60</f>
      </c>
      <c r="E6" s="18">
        <f>D6-C6</f>
      </c>
    </row>
    <row x14ac:dyDescent="0.25" r="7" customHeight="1" ht="17.25">
      <c r="A7" s="1"/>
      <c r="B7" s="17">
        <v>5</v>
      </c>
      <c r="C7" s="18">
        <f>'Part 2 - 5'!E48</f>
      </c>
      <c r="D7" s="18">
        <f>'Part 2 - 5'!F48</f>
      </c>
      <c r="E7" s="18">
        <f>D7-C7</f>
      </c>
    </row>
    <row x14ac:dyDescent="0.25" r="8" customHeight="1" ht="17.25">
      <c r="A8" s="1"/>
      <c r="B8" s="17">
        <v>6</v>
      </c>
      <c r="C8" s="18">
        <f>'Part 2 - 6'!E43</f>
      </c>
      <c r="D8" s="18">
        <f>'Part 2 - 6'!F43</f>
      </c>
      <c r="E8" s="18">
        <f>D8-C8</f>
      </c>
    </row>
    <row x14ac:dyDescent="0.25" r="9" customHeight="1" ht="17.25">
      <c r="A9" s="1"/>
      <c r="B9" s="17">
        <v>7</v>
      </c>
      <c r="C9" s="18">
        <f>'Part 2 - 7'!E24</f>
      </c>
      <c r="D9" s="18">
        <f>'Part 2 - 7'!F24</f>
      </c>
      <c r="E9" s="18">
        <f>D9-C9</f>
      </c>
    </row>
    <row x14ac:dyDescent="0.25" r="10" customHeight="1" ht="17.25">
      <c r="A10" s="1"/>
      <c r="B10" s="17">
        <v>8</v>
      </c>
      <c r="C10" s="18">
        <f>'Part 2 - 8'!E32</f>
      </c>
      <c r="D10" s="18">
        <f>'Part 2 - 8'!F32</f>
      </c>
      <c r="E10" s="18">
        <f>D10-C10</f>
      </c>
    </row>
    <row x14ac:dyDescent="0.25" r="11" customHeight="1" ht="17.25">
      <c r="A11" s="1"/>
      <c r="B11" s="17">
        <v>9</v>
      </c>
      <c r="C11" s="18">
        <f>'Part 2 - 9'!E43</f>
      </c>
      <c r="D11" s="18">
        <f>'Part 2 - 9'!F43</f>
      </c>
      <c r="E11" s="18">
        <f>D11-C11</f>
      </c>
    </row>
    <row x14ac:dyDescent="0.25" r="12" customHeight="1" ht="17.25">
      <c r="A12" s="1"/>
      <c r="B12" s="17">
        <v>10</v>
      </c>
      <c r="C12" s="18">
        <f>'Part 2 - 10'!E34</f>
      </c>
      <c r="D12" s="18">
        <f>'Part 2 - 10'!F34</f>
      </c>
      <c r="E12" s="18">
        <f>D12-C12</f>
      </c>
    </row>
    <row x14ac:dyDescent="0.25" r="13" customHeight="1" ht="17.25">
      <c r="A13" s="1"/>
      <c r="B13" s="17">
        <v>11</v>
      </c>
      <c r="C13" s="18">
        <f>'Part 2 - 11'!E31</f>
      </c>
      <c r="D13" s="18">
        <f>'Part 2 - 11'!F31</f>
      </c>
      <c r="E13" s="18">
        <f>D13-C13</f>
      </c>
    </row>
    <row x14ac:dyDescent="0.25" r="14" customHeight="1" ht="17.25">
      <c r="A14" s="1"/>
      <c r="B14" s="17">
        <v>12</v>
      </c>
      <c r="C14" s="18">
        <f>'Part 2 - 12'!E30</f>
      </c>
      <c r="D14" s="18">
        <f>'Part 2 - 12'!F30</f>
      </c>
      <c r="E14" s="18">
        <f>D14-C14</f>
      </c>
    </row>
    <row x14ac:dyDescent="0.25" r="15" customHeight="1" ht="17.25">
      <c r="A15" s="1"/>
      <c r="B15" s="17">
        <v>13</v>
      </c>
      <c r="C15" s="18">
        <f>'Part 2 - 13'!E42</f>
      </c>
      <c r="D15" s="18">
        <f>'Part 2 - 13'!F42</f>
      </c>
      <c r="E15" s="18">
        <f>D15-C15</f>
      </c>
    </row>
    <row x14ac:dyDescent="0.25" r="16" customHeight="1" ht="17.25">
      <c r="A16" s="1"/>
      <c r="B16" s="17">
        <v>14</v>
      </c>
      <c r="C16" s="18">
        <f>'Part 2 - 14'!E49</f>
      </c>
      <c r="D16" s="18">
        <f>'Part 2 - 14'!F49</f>
      </c>
      <c r="E16" s="18">
        <f>D16-C16</f>
      </c>
    </row>
    <row x14ac:dyDescent="0.25" r="17" customHeight="1" ht="17.25">
      <c r="A17" s="1"/>
      <c r="B17" s="17">
        <v>15</v>
      </c>
      <c r="C17" s="18">
        <f>'Part 2 - 15'!E32</f>
      </c>
      <c r="D17" s="18">
        <f>'Part 2 - 15'!F32</f>
      </c>
      <c r="E17" s="18">
        <f>D17-C17</f>
      </c>
    </row>
    <row x14ac:dyDescent="0.25" r="18" customHeight="1" ht="17.25">
      <c r="A18" s="1"/>
      <c r="B18" s="17">
        <v>16</v>
      </c>
      <c r="C18" s="18">
        <f>'Part 2 - 16'!E58</f>
      </c>
      <c r="D18" s="18">
        <f>'Part 2 - 16'!F58</f>
      </c>
      <c r="E18" s="18">
        <f>D18-C18</f>
      </c>
    </row>
    <row x14ac:dyDescent="0.25" r="19" customHeight="1" ht="17.25">
      <c r="A19" s="1"/>
      <c r="B19" s="17">
        <v>17</v>
      </c>
      <c r="C19" s="18">
        <f>'Part 2 - 17'!E26</f>
      </c>
      <c r="D19" s="18">
        <f>'Part 2 - 17'!F26</f>
      </c>
      <c r="E19" s="18">
        <f>D19-C19</f>
      </c>
    </row>
    <row x14ac:dyDescent="0.25" r="20" customHeight="1" ht="17.25">
      <c r="A20" s="1"/>
      <c r="B20" s="17">
        <v>18</v>
      </c>
      <c r="C20" s="18">
        <f>'Part 2 - 18'!E28</f>
      </c>
      <c r="D20" s="18">
        <f>'Part 2 - 18'!F28</f>
      </c>
      <c r="E20" s="18">
        <f>D20-C20</f>
      </c>
    </row>
    <row x14ac:dyDescent="0.25" r="21" customHeight="1" ht="17.25">
      <c r="A21" s="1"/>
      <c r="B21" s="17">
        <v>19</v>
      </c>
      <c r="C21" s="18">
        <f>'Part 2 - 19'!E49</f>
      </c>
      <c r="D21" s="18">
        <f>'Part 2 - 19'!F49</f>
      </c>
      <c r="E21" s="18">
        <f>D21-C21</f>
      </c>
    </row>
    <row x14ac:dyDescent="0.25" r="22" customHeight="1" ht="17.25">
      <c r="A22" s="1"/>
      <c r="B22" s="17">
        <v>20</v>
      </c>
      <c r="C22" s="18">
        <f>'Part 2 - 20'!E56</f>
      </c>
      <c r="D22" s="18">
        <f>'Part 2 - 20'!F56</f>
      </c>
      <c r="E22" s="18">
        <f>D22-C22</f>
      </c>
    </row>
    <row x14ac:dyDescent="0.25" r="23" customHeight="1" ht="17.25">
      <c r="A23" s="1"/>
      <c r="B23" s="2"/>
      <c r="C23" s="3"/>
      <c r="D23" s="3"/>
      <c r="E23" s="3"/>
    </row>
    <row x14ac:dyDescent="0.25" r="24" customHeight="1" ht="17.25">
      <c r="A24" s="1"/>
      <c r="B24" s="2"/>
      <c r="C24" s="3"/>
      <c r="D24" s="3"/>
      <c r="E24" s="3"/>
    </row>
    <row x14ac:dyDescent="0.25" r="25" customHeight="1" ht="17.25">
      <c r="A25" s="1"/>
      <c r="B25" s="4" t="s">
        <v>13</v>
      </c>
      <c r="C25" s="10">
        <f>AVERAGE(C3:C22)</f>
      </c>
      <c r="D25" s="10">
        <f>AVERAGE(D3:D22)</f>
      </c>
      <c r="E25" s="10">
        <f>AVERAGE(E3:E22)</f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4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3" width="12.43357142857143" customWidth="1" bestFit="1"/>
    <col min="4" max="4" style="13" width="12.43357142857143" customWidth="1" bestFit="1"/>
    <col min="5" max="5" style="13" width="12.43357142857143" customWidth="1" bestFit="1"/>
    <col min="6" max="6" style="13" width="12.43357142857143" customWidth="1" bestFit="1"/>
    <col min="7" max="7" style="13" width="12.43357142857143" customWidth="1" bestFit="1"/>
    <col min="8" max="8" style="13" width="12.43357142857143" customWidth="1" bestFit="1"/>
    <col min="9" max="9" style="14" width="12.43357142857143" customWidth="1" bestFit="1"/>
    <col min="10" max="10" style="11" width="12.43357142857143" customWidth="1" bestFit="1"/>
  </cols>
  <sheetData>
    <row x14ac:dyDescent="0.25" r="1" customHeight="1" ht="17.25">
      <c r="A1" s="1"/>
      <c r="B1" s="2"/>
      <c r="C1" s="3"/>
      <c r="D1" s="3"/>
      <c r="E1" s="3"/>
      <c r="F1" s="2"/>
      <c r="G1" s="3"/>
      <c r="H1" s="3"/>
      <c r="I1" s="3"/>
      <c r="J1" s="1"/>
    </row>
    <row x14ac:dyDescent="0.25" r="2" customHeight="1" ht="17.25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6" t="s">
        <v>7</v>
      </c>
      <c r="J2" s="7" t="s">
        <v>8</v>
      </c>
    </row>
    <row x14ac:dyDescent="0.25" r="3" customHeight="1" ht="17.25">
      <c r="A3" s="1"/>
      <c r="B3" s="8">
        <v>1</v>
      </c>
      <c r="C3" s="8">
        <v>6</v>
      </c>
      <c r="D3" s="8">
        <f>10+7</f>
      </c>
      <c r="E3" s="8">
        <v>7</v>
      </c>
      <c r="F3" s="8">
        <v>3</v>
      </c>
      <c r="G3" s="9">
        <v>2</v>
      </c>
      <c r="H3" s="9">
        <v>2</v>
      </c>
      <c r="I3" s="10">
        <f>AVERAGE(F3:H3)</f>
      </c>
      <c r="J3" s="1"/>
    </row>
    <row x14ac:dyDescent="0.25" r="4" customHeight="1" ht="17.25">
      <c r="A4" s="1"/>
      <c r="B4" s="8">
        <v>2</v>
      </c>
      <c r="C4" s="8">
        <v>6</v>
      </c>
      <c r="D4" s="8">
        <f> 12 + 23</f>
      </c>
      <c r="E4" s="8">
        <v>5</v>
      </c>
      <c r="F4" s="8">
        <v>2</v>
      </c>
      <c r="G4" s="9">
        <v>1</v>
      </c>
      <c r="H4" s="9">
        <v>1</v>
      </c>
      <c r="I4" s="10">
        <f>AVERAGE(F4:H4)</f>
      </c>
      <c r="J4" s="1"/>
    </row>
    <row x14ac:dyDescent="0.25" r="5" customHeight="1" ht="17.25">
      <c r="A5" s="1"/>
      <c r="B5" s="8">
        <v>3</v>
      </c>
      <c r="C5" s="8">
        <v>7</v>
      </c>
      <c r="D5" s="8">
        <v>12</v>
      </c>
      <c r="E5" s="8">
        <v>8</v>
      </c>
      <c r="F5" s="8">
        <v>5</v>
      </c>
      <c r="G5" s="9">
        <v>5</v>
      </c>
      <c r="H5" s="9">
        <v>4</v>
      </c>
      <c r="I5" s="10">
        <f>AVERAGE(F5:H5)</f>
      </c>
      <c r="J5" s="1"/>
    </row>
    <row x14ac:dyDescent="0.25" r="6" customHeight="1" ht="17.25">
      <c r="A6" s="1"/>
      <c r="B6" s="8">
        <v>4</v>
      </c>
      <c r="C6" s="8">
        <v>6</v>
      </c>
      <c r="D6" s="8">
        <v>31</v>
      </c>
      <c r="E6" s="8">
        <v>7</v>
      </c>
      <c r="F6" s="8">
        <v>4</v>
      </c>
      <c r="G6" s="9">
        <v>3</v>
      </c>
      <c r="H6" s="9">
        <v>3</v>
      </c>
      <c r="I6" s="10">
        <f>AVERAGE(F6:H6)</f>
      </c>
      <c r="J6" s="1"/>
    </row>
    <row x14ac:dyDescent="0.25" r="7" customHeight="1" ht="17.25">
      <c r="A7" s="1"/>
      <c r="B7" s="8">
        <v>5</v>
      </c>
      <c r="C7" s="8">
        <v>8</v>
      </c>
      <c r="D7" s="8">
        <f>15+3</f>
      </c>
      <c r="E7" s="8">
        <v>11</v>
      </c>
      <c r="F7" s="8">
        <v>2</v>
      </c>
      <c r="G7" s="9">
        <v>2</v>
      </c>
      <c r="H7" s="9">
        <v>3</v>
      </c>
      <c r="I7" s="10">
        <f>AVERAGE(F7:H7)</f>
      </c>
      <c r="J7" s="1"/>
    </row>
    <row x14ac:dyDescent="0.25" r="8" customHeight="1" ht="17.25">
      <c r="A8" s="1"/>
      <c r="B8" s="8">
        <v>6</v>
      </c>
      <c r="C8" s="8">
        <v>9</v>
      </c>
      <c r="D8" s="8">
        <v>12</v>
      </c>
      <c r="E8" s="8">
        <v>12</v>
      </c>
      <c r="F8" s="8">
        <v>4</v>
      </c>
      <c r="G8" s="9">
        <v>4</v>
      </c>
      <c r="H8" s="9">
        <v>3</v>
      </c>
      <c r="I8" s="10">
        <f>AVERAGE(F8:H8)</f>
      </c>
      <c r="J8" s="1"/>
    </row>
    <row x14ac:dyDescent="0.25" r="9" customHeight="1" ht="17.25">
      <c r="A9" s="1"/>
      <c r="B9" s="8">
        <v>7</v>
      </c>
      <c r="C9" s="8">
        <v>6</v>
      </c>
      <c r="D9" s="8">
        <v>5</v>
      </c>
      <c r="E9" s="8">
        <v>7</v>
      </c>
      <c r="F9" s="8">
        <v>1</v>
      </c>
      <c r="G9" s="9">
        <v>1</v>
      </c>
      <c r="H9" s="9">
        <v>1</v>
      </c>
      <c r="I9" s="8">
        <f>AVERAGE(F9:H9)</f>
      </c>
      <c r="J9" s="1"/>
    </row>
    <row x14ac:dyDescent="0.25" r="10" customHeight="1" ht="17.25">
      <c r="A10" s="1"/>
      <c r="B10" s="8">
        <v>8</v>
      </c>
      <c r="C10" s="8">
        <v>7</v>
      </c>
      <c r="D10" s="8">
        <v>11</v>
      </c>
      <c r="E10" s="8">
        <v>8</v>
      </c>
      <c r="F10" s="8">
        <v>2</v>
      </c>
      <c r="G10" s="9">
        <v>2</v>
      </c>
      <c r="H10" s="9">
        <v>2</v>
      </c>
      <c r="I10" s="8">
        <f>AVERAGE(F10:H10)</f>
      </c>
      <c r="J10" s="1"/>
    </row>
    <row x14ac:dyDescent="0.25" r="11" customHeight="1" ht="17.25">
      <c r="A11" s="1"/>
      <c r="B11" s="8">
        <v>9</v>
      </c>
      <c r="C11" s="8">
        <v>9</v>
      </c>
      <c r="D11" s="8">
        <v>13</v>
      </c>
      <c r="E11" s="8">
        <v>10</v>
      </c>
      <c r="F11" s="8">
        <v>3</v>
      </c>
      <c r="G11" s="9">
        <v>3</v>
      </c>
      <c r="H11" s="9">
        <v>2</v>
      </c>
      <c r="I11" s="10">
        <f>AVERAGE(F11:H11)</f>
      </c>
      <c r="J11" s="1"/>
    </row>
    <row x14ac:dyDescent="0.25" r="12" customHeight="1" ht="17.25">
      <c r="A12" s="1"/>
      <c r="B12" s="8">
        <v>10</v>
      </c>
      <c r="C12" s="8">
        <v>7</v>
      </c>
      <c r="D12" s="8">
        <v>15</v>
      </c>
      <c r="E12" s="8">
        <v>7</v>
      </c>
      <c r="F12" s="8">
        <v>2</v>
      </c>
      <c r="G12" s="9">
        <v>3</v>
      </c>
      <c r="H12" s="9">
        <v>3</v>
      </c>
      <c r="I12" s="10">
        <f>AVERAGE(F12:H12)</f>
      </c>
      <c r="J12" s="1"/>
    </row>
    <row x14ac:dyDescent="0.25" r="13" customHeight="1" ht="17.25">
      <c r="A13" s="1"/>
      <c r="B13" s="8">
        <v>11</v>
      </c>
      <c r="C13" s="8">
        <v>6</v>
      </c>
      <c r="D13" s="8">
        <v>11</v>
      </c>
      <c r="E13" s="8">
        <v>9</v>
      </c>
      <c r="F13" s="8">
        <v>3</v>
      </c>
      <c r="G13" s="9">
        <v>4</v>
      </c>
      <c r="H13" s="9">
        <v>3</v>
      </c>
      <c r="I13" s="10">
        <f>AVERAGE(F13:H13)</f>
      </c>
      <c r="J13" s="1"/>
    </row>
    <row x14ac:dyDescent="0.25" r="14" customHeight="1" ht="17.25">
      <c r="A14" s="1"/>
      <c r="B14" s="8">
        <v>12</v>
      </c>
      <c r="C14" s="8">
        <v>6</v>
      </c>
      <c r="D14" s="8">
        <v>11</v>
      </c>
      <c r="E14" s="8">
        <v>5</v>
      </c>
      <c r="F14" s="8">
        <v>2</v>
      </c>
      <c r="G14" s="9">
        <v>3</v>
      </c>
      <c r="H14" s="9">
        <v>2</v>
      </c>
      <c r="I14" s="10">
        <f>AVERAGE(F14:H14)</f>
      </c>
      <c r="J14" s="1"/>
    </row>
    <row x14ac:dyDescent="0.25" r="15" customHeight="1" ht="17.25">
      <c r="A15" s="1"/>
      <c r="B15" s="8">
        <v>13</v>
      </c>
      <c r="C15" s="8">
        <v>8</v>
      </c>
      <c r="D15" s="8">
        <v>19</v>
      </c>
      <c r="E15" s="8">
        <v>8</v>
      </c>
      <c r="F15" s="8">
        <v>2</v>
      </c>
      <c r="G15" s="9">
        <v>1</v>
      </c>
      <c r="H15" s="9">
        <v>2</v>
      </c>
      <c r="I15" s="10">
        <f>AVERAGE(F15:H15)</f>
      </c>
      <c r="J15" s="1"/>
    </row>
    <row x14ac:dyDescent="0.25" r="16" customHeight="1" ht="17.25">
      <c r="A16" s="1"/>
      <c r="B16" s="8">
        <v>14</v>
      </c>
      <c r="C16" s="8">
        <v>5</v>
      </c>
      <c r="D16" s="8">
        <v>12</v>
      </c>
      <c r="E16" s="8">
        <v>5</v>
      </c>
      <c r="F16" s="8">
        <v>3</v>
      </c>
      <c r="G16" s="9">
        <v>2</v>
      </c>
      <c r="H16" s="9">
        <v>3</v>
      </c>
      <c r="I16" s="10">
        <f>AVERAGE(F16:H16)</f>
      </c>
      <c r="J16" s="1"/>
    </row>
    <row x14ac:dyDescent="0.25" r="17" customHeight="1" ht="17.25">
      <c r="A17" s="1"/>
      <c r="B17" s="8">
        <v>15</v>
      </c>
      <c r="C17" s="8">
        <v>8</v>
      </c>
      <c r="D17" s="8">
        <f>0+6</f>
      </c>
      <c r="E17" s="8">
        <v>8</v>
      </c>
      <c r="F17" s="8">
        <v>4</v>
      </c>
      <c r="G17" s="9">
        <v>5</v>
      </c>
      <c r="H17" s="9">
        <v>4</v>
      </c>
      <c r="I17" s="10">
        <f>AVERAGE(F17:H17)</f>
      </c>
      <c r="J17" s="1"/>
    </row>
    <row x14ac:dyDescent="0.25" r="18" customHeight="1" ht="17.25">
      <c r="A18" s="1"/>
      <c r="B18" s="8">
        <v>16</v>
      </c>
      <c r="C18" s="8">
        <v>11</v>
      </c>
      <c r="D18" s="8">
        <v>13</v>
      </c>
      <c r="E18" s="8">
        <v>13</v>
      </c>
      <c r="F18" s="8">
        <v>4</v>
      </c>
      <c r="G18" s="9">
        <v>3</v>
      </c>
      <c r="H18" s="9">
        <v>2</v>
      </c>
      <c r="I18" s="8">
        <f>AVERAGE(F18:H18)</f>
      </c>
      <c r="J18" s="1"/>
    </row>
    <row x14ac:dyDescent="0.25" r="19" customHeight="1" ht="17.25">
      <c r="A19" s="1"/>
      <c r="B19" s="8">
        <v>17</v>
      </c>
      <c r="C19" s="8">
        <v>8</v>
      </c>
      <c r="D19" s="8">
        <f>2+3</f>
      </c>
      <c r="E19" s="8">
        <v>8</v>
      </c>
      <c r="F19" s="8">
        <v>3</v>
      </c>
      <c r="G19" s="9">
        <v>2</v>
      </c>
      <c r="H19" s="9">
        <v>2</v>
      </c>
      <c r="I19" s="10">
        <f>AVERAGE(F19:H19)</f>
      </c>
      <c r="J19" s="1"/>
    </row>
    <row x14ac:dyDescent="0.25" r="20" customHeight="1" ht="17.25">
      <c r="A20" s="1"/>
      <c r="B20" s="8">
        <v>18</v>
      </c>
      <c r="C20" s="8">
        <v>6</v>
      </c>
      <c r="D20" s="8">
        <v>10</v>
      </c>
      <c r="E20" s="8">
        <v>6</v>
      </c>
      <c r="F20" s="8">
        <v>2</v>
      </c>
      <c r="G20" s="9">
        <v>2</v>
      </c>
      <c r="H20" s="9">
        <v>1</v>
      </c>
      <c r="I20" s="10">
        <f>AVERAGE(F20:H20)</f>
      </c>
      <c r="J20" s="1"/>
    </row>
    <row x14ac:dyDescent="0.25" r="21" customHeight="1" ht="17.25">
      <c r="A21" s="1"/>
      <c r="B21" s="8">
        <v>19</v>
      </c>
      <c r="C21" s="8">
        <v>9</v>
      </c>
      <c r="D21" s="8">
        <f>15+5</f>
      </c>
      <c r="E21" s="8">
        <v>9</v>
      </c>
      <c r="F21" s="8">
        <v>4</v>
      </c>
      <c r="G21" s="9">
        <v>4</v>
      </c>
      <c r="H21" s="9">
        <v>4</v>
      </c>
      <c r="I21" s="8">
        <f>AVERAGE(F21:H21)</f>
      </c>
      <c r="J21" s="1"/>
    </row>
    <row x14ac:dyDescent="0.25" r="22" customHeight="1" ht="17.25">
      <c r="A22" s="1"/>
      <c r="B22" s="8">
        <v>20</v>
      </c>
      <c r="C22" s="8">
        <v>10</v>
      </c>
      <c r="D22" s="8">
        <v>28</v>
      </c>
      <c r="E22" s="8">
        <v>10</v>
      </c>
      <c r="F22" s="8">
        <v>5</v>
      </c>
      <c r="G22" s="9">
        <v>5</v>
      </c>
      <c r="H22" s="9">
        <v>4</v>
      </c>
      <c r="I22" s="10">
        <f>AVERAGE(F22:H22)</f>
      </c>
      <c r="J22" s="1"/>
    </row>
    <row x14ac:dyDescent="0.25" r="23" customHeight="1" ht="17.25">
      <c r="A23" s="1"/>
      <c r="B23" s="2"/>
      <c r="C23" s="3"/>
      <c r="D23" s="3"/>
      <c r="E23" s="3"/>
      <c r="F23" s="2"/>
      <c r="G23" s="3"/>
      <c r="H23" s="3"/>
      <c r="I23" s="3"/>
      <c r="J23" s="1"/>
    </row>
    <row x14ac:dyDescent="0.25" r="24" customHeight="1" ht="17.25">
      <c r="A24" s="1"/>
      <c r="B24" s="4" t="s">
        <v>9</v>
      </c>
      <c r="C24" s="10">
        <f>AVERAGE(C3:C22)</f>
      </c>
      <c r="D24" s="10">
        <f>AVERAGE(D3:D22)</f>
      </c>
      <c r="E24" s="10">
        <f>AVERAGE(E3:E22)</f>
      </c>
      <c r="F24" s="8">
        <f>AVERAGE(F3:F22)</f>
      </c>
      <c r="G24" s="10">
        <f>AVERAGE(G3:G22)</f>
      </c>
      <c r="H24" s="10">
        <f>AVERAGE(H3:H22)</f>
      </c>
      <c r="I24" s="10">
        <f>AVERAGE(I3:I22)</f>
      </c>
      <c r="J2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23</vt:i4>
      </vt:variant>
    </vt:vector>
  </HeadingPairs>
  <TitlesOfParts>
    <vt:vector baseType="lpstr" size="23">
      <vt:lpstr>Part 1</vt:lpstr>
      <vt:lpstr>Part 2 - 1</vt:lpstr>
      <vt:lpstr>Part 2 - 2</vt:lpstr>
      <vt:lpstr>Part 2 - 3</vt:lpstr>
      <vt:lpstr>Part 2 - 4</vt:lpstr>
      <vt:lpstr>Part 2 - 5</vt:lpstr>
      <vt:lpstr>Part 2 - 6</vt:lpstr>
      <vt:lpstr>Part 2 - 7</vt:lpstr>
      <vt:lpstr>Part 2 - 8</vt:lpstr>
      <vt:lpstr>Part 2 - 9</vt:lpstr>
      <vt:lpstr>Part 2 - 10</vt:lpstr>
      <vt:lpstr>Part 2 - 11</vt:lpstr>
      <vt:lpstr>Part 2 - 12</vt:lpstr>
      <vt:lpstr>Part 2 - 13</vt:lpstr>
      <vt:lpstr>Part 2 - 14</vt:lpstr>
      <vt:lpstr>Part 2 - 15</vt:lpstr>
      <vt:lpstr>Part 2 - 17</vt:lpstr>
      <vt:lpstr>Part 2 - 16</vt:lpstr>
      <vt:lpstr>Part 2 - 18</vt:lpstr>
      <vt:lpstr>Part 2 - 19</vt:lpstr>
      <vt:lpstr>Part 2 - 20</vt:lpstr>
      <vt:lpstr>Part 2 - Tot</vt:lpstr>
      <vt:lpstr>Estimated Difficulty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2026-01-18T12:30:43.250Z</dcterms:created>
  <dcterms:modified xsi:type="dcterms:W3CDTF">2026-01-18T12:30:43.250Z</dcterms:modified>
</cp:coreProperties>
</file>